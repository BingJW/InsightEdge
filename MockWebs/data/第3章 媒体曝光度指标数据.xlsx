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xiaog\Desktop\RWA白皮书\"/>
    </mc:Choice>
  </mc:AlternateContent>
  <xr:revisionPtr revIDLastSave="0" documentId="13_ncr:1_{BFEF04EA-172F-4B4F-B141-3043EEFB7F38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情感倾向" sheetId="1" r:id="rId1"/>
    <sheet name="转载量" sheetId="4" r:id="rId2"/>
    <sheet name="核心信息量" sheetId="2" r:id="rId3"/>
    <sheet name="内容质量及媒体覆盖指标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2" i="3" l="1"/>
  <c r="U102" i="3" s="1"/>
  <c r="R102" i="3" s="1"/>
  <c r="S102" i="3"/>
  <c r="N102" i="3"/>
  <c r="T101" i="3"/>
  <c r="U101" i="3" s="1"/>
  <c r="R101" i="3" s="1"/>
  <c r="S101" i="3"/>
  <c r="N101" i="3"/>
  <c r="T100" i="3"/>
  <c r="U100" i="3" s="1"/>
  <c r="R100" i="3" s="1"/>
  <c r="S100" i="3"/>
  <c r="N100" i="3"/>
  <c r="U99" i="3"/>
  <c r="R99" i="3" s="1"/>
  <c r="T99" i="3"/>
  <c r="S99" i="3"/>
  <c r="N99" i="3"/>
  <c r="T98" i="3"/>
  <c r="U98" i="3" s="1"/>
  <c r="R98" i="3" s="1"/>
  <c r="S98" i="3"/>
  <c r="N98" i="3"/>
  <c r="T97" i="3"/>
  <c r="U97" i="3" s="1"/>
  <c r="R97" i="3" s="1"/>
  <c r="S97" i="3"/>
  <c r="N97" i="3"/>
  <c r="T96" i="3"/>
  <c r="U96" i="3" s="1"/>
  <c r="R96" i="3" s="1"/>
  <c r="S96" i="3"/>
  <c r="N96" i="3"/>
  <c r="T95" i="3"/>
  <c r="U95" i="3" s="1"/>
  <c r="R95" i="3" s="1"/>
  <c r="S95" i="3"/>
  <c r="N95" i="3"/>
  <c r="T94" i="3"/>
  <c r="U94" i="3" s="1"/>
  <c r="R94" i="3" s="1"/>
  <c r="S94" i="3"/>
  <c r="N94" i="3"/>
  <c r="T93" i="3"/>
  <c r="U93" i="3" s="1"/>
  <c r="S93" i="3"/>
  <c r="R93" i="3" s="1"/>
  <c r="N93" i="3"/>
  <c r="T92" i="3"/>
  <c r="U92" i="3" s="1"/>
  <c r="R92" i="3" s="1"/>
  <c r="S92" i="3"/>
  <c r="N92" i="3"/>
  <c r="T91" i="3"/>
  <c r="U91" i="3" s="1"/>
  <c r="R91" i="3" s="1"/>
  <c r="S91" i="3"/>
  <c r="N91" i="3"/>
  <c r="T90" i="3"/>
  <c r="U90" i="3" s="1"/>
  <c r="R90" i="3" s="1"/>
  <c r="S90" i="3"/>
  <c r="N90" i="3"/>
  <c r="T89" i="3"/>
  <c r="U89" i="3" s="1"/>
  <c r="R89" i="3" s="1"/>
  <c r="S89" i="3"/>
  <c r="N89" i="3"/>
  <c r="T88" i="3"/>
  <c r="U88" i="3" s="1"/>
  <c r="R88" i="3" s="1"/>
  <c r="S88" i="3"/>
  <c r="N88" i="3"/>
  <c r="T87" i="3"/>
  <c r="U87" i="3" s="1"/>
  <c r="R87" i="3" s="1"/>
  <c r="S87" i="3"/>
  <c r="N87" i="3"/>
  <c r="T86" i="3"/>
  <c r="U86" i="3" s="1"/>
  <c r="R86" i="3" s="1"/>
  <c r="S86" i="3"/>
  <c r="N86" i="3"/>
  <c r="T85" i="3"/>
  <c r="U85" i="3" s="1"/>
  <c r="R85" i="3" s="1"/>
  <c r="S85" i="3"/>
  <c r="N85" i="3"/>
  <c r="T84" i="3"/>
  <c r="U84" i="3" s="1"/>
  <c r="R84" i="3" s="1"/>
  <c r="S84" i="3"/>
  <c r="N84" i="3"/>
  <c r="U83" i="3"/>
  <c r="R83" i="3" s="1"/>
  <c r="T83" i="3"/>
  <c r="S83" i="3"/>
  <c r="N83" i="3"/>
  <c r="T82" i="3"/>
  <c r="U82" i="3" s="1"/>
  <c r="R82" i="3" s="1"/>
  <c r="S82" i="3"/>
  <c r="N82" i="3"/>
  <c r="T81" i="3"/>
  <c r="U81" i="3" s="1"/>
  <c r="R81" i="3" s="1"/>
  <c r="S81" i="3"/>
  <c r="N81" i="3"/>
  <c r="T80" i="3"/>
  <c r="U80" i="3" s="1"/>
  <c r="S80" i="3"/>
  <c r="R80" i="3" s="1"/>
  <c r="N80" i="3"/>
  <c r="T79" i="3"/>
  <c r="U79" i="3" s="1"/>
  <c r="R79" i="3" s="1"/>
  <c r="S79" i="3"/>
  <c r="N79" i="3"/>
  <c r="T78" i="3"/>
  <c r="U78" i="3" s="1"/>
  <c r="R78" i="3" s="1"/>
  <c r="S78" i="3"/>
  <c r="N78" i="3"/>
  <c r="T77" i="3"/>
  <c r="U77" i="3" s="1"/>
  <c r="S77" i="3"/>
  <c r="R77" i="3" s="1"/>
  <c r="N77" i="3"/>
  <c r="T76" i="3"/>
  <c r="U76" i="3" s="1"/>
  <c r="R76" i="3" s="1"/>
  <c r="S76" i="3"/>
  <c r="N76" i="3"/>
  <c r="T75" i="3"/>
  <c r="U75" i="3" s="1"/>
  <c r="R75" i="3" s="1"/>
  <c r="S75" i="3"/>
  <c r="N75" i="3"/>
  <c r="T74" i="3"/>
  <c r="U74" i="3" s="1"/>
  <c r="R74" i="3" s="1"/>
  <c r="S74" i="3"/>
  <c r="N74" i="3"/>
  <c r="T73" i="3"/>
  <c r="U73" i="3" s="1"/>
  <c r="R73" i="3" s="1"/>
  <c r="S73" i="3"/>
  <c r="N73" i="3"/>
  <c r="T72" i="3"/>
  <c r="U72" i="3" s="1"/>
  <c r="R72" i="3" s="1"/>
  <c r="S72" i="3"/>
  <c r="N72" i="3"/>
  <c r="T71" i="3"/>
  <c r="U71" i="3" s="1"/>
  <c r="R71" i="3" s="1"/>
  <c r="S71" i="3"/>
  <c r="N71" i="3"/>
  <c r="U70" i="3"/>
  <c r="T70" i="3"/>
  <c r="S70" i="3"/>
  <c r="R70" i="3"/>
  <c r="N70" i="3"/>
  <c r="T69" i="3"/>
  <c r="U69" i="3" s="1"/>
  <c r="R69" i="3" s="1"/>
  <c r="S69" i="3"/>
  <c r="N69" i="3"/>
  <c r="T68" i="3"/>
  <c r="U68" i="3" s="1"/>
  <c r="R68" i="3" s="1"/>
  <c r="S68" i="3"/>
  <c r="N68" i="3"/>
  <c r="U67" i="3"/>
  <c r="R67" i="3" s="1"/>
  <c r="T67" i="3"/>
  <c r="S67" i="3"/>
  <c r="N67" i="3"/>
  <c r="T66" i="3"/>
  <c r="U66" i="3" s="1"/>
  <c r="R66" i="3" s="1"/>
  <c r="S66" i="3"/>
  <c r="N66" i="3"/>
  <c r="T65" i="3"/>
  <c r="U65" i="3" s="1"/>
  <c r="R65" i="3" s="1"/>
  <c r="S65" i="3"/>
  <c r="N65" i="3"/>
  <c r="T64" i="3"/>
  <c r="U64" i="3" s="1"/>
  <c r="S64" i="3"/>
  <c r="R64" i="3" s="1"/>
  <c r="N64" i="3"/>
  <c r="T63" i="3"/>
  <c r="U63" i="3" s="1"/>
  <c r="R63" i="3" s="1"/>
  <c r="S63" i="3"/>
  <c r="N63" i="3"/>
  <c r="T62" i="3"/>
  <c r="U62" i="3" s="1"/>
  <c r="R62" i="3" s="1"/>
  <c r="S62" i="3"/>
  <c r="N62" i="3"/>
  <c r="T61" i="3"/>
  <c r="U61" i="3" s="1"/>
  <c r="S61" i="3"/>
  <c r="R61" i="3" s="1"/>
  <c r="N61" i="3"/>
  <c r="T60" i="3"/>
  <c r="U60" i="3" s="1"/>
  <c r="R60" i="3" s="1"/>
  <c r="S60" i="3"/>
  <c r="N60" i="3"/>
  <c r="T59" i="3"/>
  <c r="U59" i="3" s="1"/>
  <c r="R59" i="3" s="1"/>
  <c r="S59" i="3"/>
  <c r="N59" i="3"/>
  <c r="T58" i="3"/>
  <c r="U58" i="3" s="1"/>
  <c r="R58" i="3" s="1"/>
  <c r="S58" i="3"/>
  <c r="N58" i="3"/>
  <c r="T57" i="3"/>
  <c r="U57" i="3" s="1"/>
  <c r="R57" i="3" s="1"/>
  <c r="S57" i="3"/>
  <c r="N57" i="3"/>
  <c r="T56" i="3"/>
  <c r="U56" i="3" s="1"/>
  <c r="R56" i="3" s="1"/>
  <c r="S56" i="3"/>
  <c r="N56" i="3"/>
  <c r="T55" i="3"/>
  <c r="U55" i="3" s="1"/>
  <c r="R55" i="3" s="1"/>
  <c r="S55" i="3"/>
  <c r="N55" i="3"/>
  <c r="U54" i="3"/>
  <c r="T54" i="3"/>
  <c r="S54" i="3"/>
  <c r="R54" i="3"/>
  <c r="N54" i="3"/>
  <c r="T53" i="3"/>
  <c r="U53" i="3" s="1"/>
  <c r="R53" i="3" s="1"/>
  <c r="S53" i="3"/>
  <c r="N53" i="3"/>
  <c r="T52" i="3"/>
  <c r="U52" i="3" s="1"/>
  <c r="R52" i="3" s="1"/>
  <c r="S52" i="3"/>
  <c r="N52" i="3"/>
  <c r="U51" i="3"/>
  <c r="R51" i="3" s="1"/>
  <c r="T51" i="3"/>
  <c r="S51" i="3"/>
  <c r="N51" i="3"/>
  <c r="T50" i="3"/>
  <c r="U50" i="3" s="1"/>
  <c r="R50" i="3" s="1"/>
  <c r="S50" i="3"/>
  <c r="N50" i="3"/>
  <c r="T49" i="3"/>
  <c r="U49" i="3" s="1"/>
  <c r="R49" i="3" s="1"/>
  <c r="S49" i="3"/>
  <c r="N49" i="3"/>
  <c r="T48" i="3"/>
  <c r="U48" i="3" s="1"/>
  <c r="S48" i="3"/>
  <c r="R48" i="3" s="1"/>
  <c r="N48" i="3"/>
  <c r="T47" i="3"/>
  <c r="U47" i="3" s="1"/>
  <c r="R47" i="3" s="1"/>
  <c r="S47" i="3"/>
  <c r="N47" i="3"/>
  <c r="T46" i="3"/>
  <c r="U46" i="3" s="1"/>
  <c r="R46" i="3" s="1"/>
  <c r="S46" i="3"/>
  <c r="N46" i="3"/>
  <c r="T45" i="3"/>
  <c r="U45" i="3" s="1"/>
  <c r="S45" i="3"/>
  <c r="R45" i="3" s="1"/>
  <c r="N45" i="3"/>
  <c r="T44" i="3"/>
  <c r="U44" i="3" s="1"/>
  <c r="R44" i="3" s="1"/>
  <c r="S44" i="3"/>
  <c r="N44" i="3"/>
  <c r="T43" i="3"/>
  <c r="U43" i="3" s="1"/>
  <c r="R43" i="3" s="1"/>
  <c r="S43" i="3"/>
  <c r="N43" i="3"/>
  <c r="T42" i="3"/>
  <c r="U42" i="3" s="1"/>
  <c r="R42" i="3" s="1"/>
  <c r="S42" i="3"/>
  <c r="N42" i="3"/>
  <c r="T41" i="3"/>
  <c r="U41" i="3" s="1"/>
  <c r="R41" i="3" s="1"/>
  <c r="S41" i="3"/>
  <c r="N41" i="3"/>
  <c r="T40" i="3"/>
  <c r="U40" i="3" s="1"/>
  <c r="R40" i="3" s="1"/>
  <c r="S40" i="3"/>
  <c r="N40" i="3"/>
  <c r="T39" i="3"/>
  <c r="U39" i="3" s="1"/>
  <c r="R39" i="3" s="1"/>
  <c r="S39" i="3"/>
  <c r="N39" i="3"/>
  <c r="U38" i="3"/>
  <c r="T38" i="3"/>
  <c r="S38" i="3"/>
  <c r="R38" i="3"/>
  <c r="N38" i="3"/>
  <c r="T37" i="3"/>
  <c r="U37" i="3" s="1"/>
  <c r="R37" i="3" s="1"/>
  <c r="S37" i="3"/>
  <c r="N37" i="3"/>
  <c r="T36" i="3"/>
  <c r="U36" i="3" s="1"/>
  <c r="R36" i="3" s="1"/>
  <c r="S36" i="3"/>
  <c r="N36" i="3"/>
  <c r="U35" i="3"/>
  <c r="R35" i="3" s="1"/>
  <c r="T35" i="3"/>
  <c r="S35" i="3"/>
  <c r="N35" i="3"/>
  <c r="T34" i="3"/>
  <c r="U34" i="3" s="1"/>
  <c r="R34" i="3" s="1"/>
  <c r="S34" i="3"/>
  <c r="N34" i="3"/>
  <c r="T33" i="3"/>
  <c r="U33" i="3" s="1"/>
  <c r="R33" i="3" s="1"/>
  <c r="S33" i="3"/>
  <c r="N33" i="3"/>
  <c r="T32" i="3"/>
  <c r="U32" i="3" s="1"/>
  <c r="S32" i="3"/>
  <c r="R32" i="3" s="1"/>
  <c r="N32" i="3"/>
  <c r="T31" i="3"/>
  <c r="U31" i="3" s="1"/>
  <c r="R31" i="3" s="1"/>
  <c r="S31" i="3"/>
  <c r="N31" i="3"/>
  <c r="T30" i="3"/>
  <c r="U30" i="3" s="1"/>
  <c r="R30" i="3" s="1"/>
  <c r="S30" i="3"/>
  <c r="N30" i="3"/>
  <c r="T29" i="3"/>
  <c r="U29" i="3" s="1"/>
  <c r="S29" i="3"/>
  <c r="R29" i="3" s="1"/>
  <c r="N29" i="3"/>
  <c r="T28" i="3"/>
  <c r="U28" i="3" s="1"/>
  <c r="R28" i="3" s="1"/>
  <c r="S28" i="3"/>
  <c r="N28" i="3"/>
  <c r="T27" i="3"/>
  <c r="U27" i="3" s="1"/>
  <c r="R27" i="3" s="1"/>
  <c r="S27" i="3"/>
  <c r="N27" i="3"/>
  <c r="T26" i="3"/>
  <c r="U26" i="3" s="1"/>
  <c r="R26" i="3" s="1"/>
  <c r="S26" i="3"/>
  <c r="N26" i="3"/>
  <c r="T25" i="3"/>
  <c r="U25" i="3" s="1"/>
  <c r="R25" i="3" s="1"/>
  <c r="S25" i="3"/>
  <c r="N25" i="3"/>
  <c r="T24" i="3"/>
  <c r="U24" i="3" s="1"/>
  <c r="R24" i="3" s="1"/>
  <c r="S24" i="3"/>
  <c r="N24" i="3"/>
  <c r="T23" i="3"/>
  <c r="U23" i="3" s="1"/>
  <c r="R23" i="3" s="1"/>
  <c r="S23" i="3"/>
  <c r="N23" i="3"/>
  <c r="U22" i="3"/>
  <c r="T22" i="3"/>
  <c r="S22" i="3"/>
  <c r="R22" i="3"/>
  <c r="N22" i="3"/>
  <c r="T21" i="3"/>
  <c r="U21" i="3" s="1"/>
  <c r="R21" i="3" s="1"/>
  <c r="S21" i="3"/>
  <c r="N21" i="3"/>
  <c r="T20" i="3"/>
  <c r="U20" i="3" s="1"/>
  <c r="R20" i="3" s="1"/>
  <c r="S20" i="3"/>
  <c r="N20" i="3"/>
  <c r="U19" i="3"/>
  <c r="R19" i="3" s="1"/>
  <c r="T19" i="3"/>
  <c r="S19" i="3"/>
  <c r="N19" i="3"/>
  <c r="T18" i="3"/>
  <c r="U18" i="3" s="1"/>
  <c r="R18" i="3" s="1"/>
  <c r="S18" i="3"/>
  <c r="N18" i="3"/>
  <c r="T17" i="3"/>
  <c r="U17" i="3" s="1"/>
  <c r="R17" i="3" s="1"/>
  <c r="S17" i="3"/>
  <c r="N17" i="3"/>
  <c r="T16" i="3"/>
  <c r="U16" i="3" s="1"/>
  <c r="S16" i="3"/>
  <c r="R16" i="3" s="1"/>
  <c r="N16" i="3"/>
  <c r="T15" i="3"/>
  <c r="U15" i="3" s="1"/>
  <c r="R15" i="3" s="1"/>
  <c r="S15" i="3"/>
  <c r="N15" i="3"/>
  <c r="T14" i="3"/>
  <c r="U14" i="3" s="1"/>
  <c r="R14" i="3" s="1"/>
  <c r="S14" i="3"/>
  <c r="N14" i="3"/>
  <c r="T13" i="3"/>
  <c r="U13" i="3" s="1"/>
  <c r="S13" i="3"/>
  <c r="R13" i="3" s="1"/>
  <c r="N13" i="3"/>
  <c r="T12" i="3"/>
  <c r="U12" i="3" s="1"/>
  <c r="R12" i="3" s="1"/>
  <c r="S12" i="3"/>
  <c r="N12" i="3"/>
  <c r="T11" i="3"/>
  <c r="U11" i="3" s="1"/>
  <c r="R11" i="3" s="1"/>
  <c r="S11" i="3"/>
  <c r="N11" i="3"/>
  <c r="T10" i="3"/>
  <c r="U10" i="3" s="1"/>
  <c r="R10" i="3" s="1"/>
  <c r="S10" i="3"/>
  <c r="N10" i="3"/>
  <c r="T9" i="3"/>
  <c r="U9" i="3" s="1"/>
  <c r="R9" i="3" s="1"/>
  <c r="S9" i="3"/>
  <c r="N9" i="3"/>
  <c r="T8" i="3"/>
  <c r="U8" i="3" s="1"/>
  <c r="R8" i="3" s="1"/>
  <c r="S8" i="3"/>
  <c r="N8" i="3"/>
  <c r="T7" i="3"/>
  <c r="U7" i="3" s="1"/>
  <c r="R7" i="3" s="1"/>
  <c r="S7" i="3"/>
  <c r="N7" i="3"/>
  <c r="U6" i="3"/>
  <c r="T6" i="3"/>
  <c r="S6" i="3"/>
  <c r="R6" i="3"/>
  <c r="N6" i="3"/>
  <c r="T5" i="3"/>
  <c r="U5" i="3" s="1"/>
  <c r="R5" i="3" s="1"/>
  <c r="S5" i="3"/>
  <c r="N5" i="3"/>
  <c r="T4" i="3"/>
  <c r="U4" i="3" s="1"/>
  <c r="R4" i="3" s="1"/>
  <c r="S4" i="3"/>
  <c r="N4" i="3"/>
  <c r="U3" i="3"/>
  <c r="R3" i="3" s="1"/>
  <c r="T3" i="3"/>
  <c r="S3" i="3"/>
  <c r="N3" i="3"/>
</calcChain>
</file>

<file path=xl/sharedStrings.xml><?xml version="1.0" encoding="utf-8"?>
<sst xmlns="http://schemas.openxmlformats.org/spreadsheetml/2006/main" count="2547" uniqueCount="548">
  <si>
    <t>公司名称</t>
    <phoneticPr fontId="3" type="noConversion"/>
  </si>
  <si>
    <t>公司代码</t>
    <phoneticPr fontId="3" type="noConversion"/>
  </si>
  <si>
    <t>正面</t>
    <phoneticPr fontId="3" type="noConversion"/>
  </si>
  <si>
    <t>负面</t>
    <phoneticPr fontId="3" type="noConversion"/>
  </si>
  <si>
    <t>中性</t>
    <phoneticPr fontId="3" type="noConversion"/>
  </si>
  <si>
    <t>转载量</t>
    <phoneticPr fontId="3" type="noConversion"/>
  </si>
  <si>
    <t>招商银行</t>
  </si>
  <si>
    <t>600036.SH</t>
  </si>
  <si>
    <t>中国平安</t>
  </si>
  <si>
    <t>601318.SH</t>
  </si>
  <si>
    <t>贵州茅台</t>
  </si>
  <si>
    <t>600519.SH</t>
  </si>
  <si>
    <t>工商银行</t>
  </si>
  <si>
    <t>601398.SH</t>
  </si>
  <si>
    <t>宁德时代</t>
  </si>
  <si>
    <t>300750.SZ</t>
  </si>
  <si>
    <t>兴业银行</t>
  </si>
  <si>
    <t>601166.SH</t>
  </si>
  <si>
    <t>农业银行</t>
  </si>
  <si>
    <t>601288.SH</t>
  </si>
  <si>
    <t>紫金矿业</t>
  </si>
  <si>
    <t>601899.SH</t>
  </si>
  <si>
    <t>美的集团</t>
  </si>
  <si>
    <t>000333.SZ</t>
  </si>
  <si>
    <t>交通银行</t>
  </si>
  <si>
    <t>601328.SH</t>
  </si>
  <si>
    <t>比亚迪</t>
  </si>
  <si>
    <t>002594.SZ</t>
  </si>
  <si>
    <t>长江电力</t>
  </si>
  <si>
    <t>600900.SH</t>
  </si>
  <si>
    <t>五粮液</t>
  </si>
  <si>
    <t>000858.SZ</t>
  </si>
  <si>
    <t>中信证券</t>
  </si>
  <si>
    <t>600030.SH</t>
  </si>
  <si>
    <t>中国神华</t>
  </si>
  <si>
    <t>601088.SH</t>
  </si>
  <si>
    <t>601088.SH</t>
    <phoneticPr fontId="3" type="noConversion"/>
  </si>
  <si>
    <t>格力电器</t>
  </si>
  <si>
    <t>000651.SZ</t>
  </si>
  <si>
    <t>工业富联</t>
  </si>
  <si>
    <t>601138.SH</t>
  </si>
  <si>
    <t>浦发银行</t>
  </si>
  <si>
    <t>600000.SH</t>
  </si>
  <si>
    <t>江苏银行</t>
  </si>
  <si>
    <t>600919.SH</t>
  </si>
  <si>
    <t>中国建筑</t>
  </si>
  <si>
    <t>601668.SH</t>
  </si>
  <si>
    <t>中国太保</t>
  </si>
  <si>
    <t>601601.SH</t>
  </si>
  <si>
    <t>中国石油</t>
  </si>
  <si>
    <t>601857.SH</t>
  </si>
  <si>
    <t>中国移动</t>
  </si>
  <si>
    <t>600941.SH</t>
  </si>
  <si>
    <t>平安银行</t>
  </si>
  <si>
    <t>000001.SZ</t>
  </si>
  <si>
    <t>立讯精密</t>
  </si>
  <si>
    <t>002475.SZ</t>
  </si>
  <si>
    <t>中国电信</t>
  </si>
  <si>
    <t>601728.SH</t>
  </si>
  <si>
    <t>国泰海通</t>
  </si>
  <si>
    <t>601211.SH</t>
  </si>
  <si>
    <t>中远海控</t>
  </si>
  <si>
    <t>601919.SH</t>
  </si>
  <si>
    <t>牧原股份</t>
  </si>
  <si>
    <t>002714.SZ</t>
  </si>
  <si>
    <t>东方财富</t>
  </si>
  <si>
    <t>300059.SZ</t>
  </si>
  <si>
    <t>建设银行</t>
  </si>
  <si>
    <t>601939.SH</t>
  </si>
  <si>
    <t>中国银行</t>
  </si>
  <si>
    <t>601988.SH</t>
  </si>
  <si>
    <t>京沪高铁</t>
  </si>
  <si>
    <t>601816.SH</t>
  </si>
  <si>
    <t>民生银行</t>
  </si>
  <si>
    <t>600016.SH</t>
  </si>
  <si>
    <t>阳光电源</t>
  </si>
  <si>
    <t>300274.SZ</t>
  </si>
  <si>
    <t>药明康德</t>
  </si>
  <si>
    <t>603259.SH</t>
  </si>
  <si>
    <t>洛阳钼业</t>
  </si>
  <si>
    <t>603993.SH</t>
  </si>
  <si>
    <t>中国石化</t>
  </si>
  <si>
    <t>600028.SH</t>
  </si>
  <si>
    <t>万华化学</t>
  </si>
  <si>
    <t>600309.SH</t>
  </si>
  <si>
    <t>中国人寿</t>
  </si>
  <si>
    <t>601628.SH</t>
  </si>
  <si>
    <t>海尔智家</t>
  </si>
  <si>
    <t>600690.SH</t>
  </si>
  <si>
    <t>迈瑞医疗</t>
  </si>
  <si>
    <t>300760.SZ</t>
  </si>
  <si>
    <t>陕西煤业</t>
  </si>
  <si>
    <t>601225.SH</t>
  </si>
  <si>
    <t>宁波银行</t>
  </si>
  <si>
    <t>002142.SZ</t>
  </si>
  <si>
    <t>中国海油</t>
  </si>
  <si>
    <t>600938.SH</t>
  </si>
  <si>
    <t>北京银行</t>
  </si>
  <si>
    <t>601169.SH</t>
  </si>
  <si>
    <t>上海银行</t>
  </si>
  <si>
    <t>601229.SH</t>
  </si>
  <si>
    <t>伊利股份</t>
  </si>
  <si>
    <t>600887.SH</t>
  </si>
  <si>
    <t>邮储银行</t>
  </si>
  <si>
    <t>601658.SH</t>
  </si>
  <si>
    <t>泸州老窖</t>
  </si>
  <si>
    <t>000568.SZ</t>
  </si>
  <si>
    <t>华泰证券</t>
  </si>
  <si>
    <t>601688.SH</t>
  </si>
  <si>
    <t>海康威视</t>
  </si>
  <si>
    <t>002415.SZ</t>
  </si>
  <si>
    <t>中国联通</t>
  </si>
  <si>
    <t>600050.SH</t>
  </si>
  <si>
    <t>恒瑞医药</t>
  </si>
  <si>
    <t>600276.SH</t>
  </si>
  <si>
    <t>南京银行</t>
  </si>
  <si>
    <t>601009.SH</t>
  </si>
  <si>
    <t>山西汾酒</t>
  </si>
  <si>
    <t>600809.SH</t>
  </si>
  <si>
    <t>中国中车</t>
  </si>
  <si>
    <t>601766.SH</t>
  </si>
  <si>
    <t>中兴通讯</t>
  </si>
  <si>
    <t>000063.SZ</t>
  </si>
  <si>
    <t>光大银行</t>
  </si>
  <si>
    <t>601818.SH</t>
  </si>
  <si>
    <t>顺丰控股</t>
  </si>
  <si>
    <t>002352.SZ</t>
  </si>
  <si>
    <t>中际旭创</t>
  </si>
  <si>
    <t>300308.SZ</t>
  </si>
  <si>
    <t>杭州银行</t>
  </si>
  <si>
    <t>600926.SH</t>
  </si>
  <si>
    <t>中国核电</t>
  </si>
  <si>
    <t>601985.SH</t>
  </si>
  <si>
    <t>中芯国际</t>
  </si>
  <si>
    <t>688981.SH</t>
  </si>
  <si>
    <t>688981.SH</t>
    <phoneticPr fontId="3" type="noConversion"/>
  </si>
  <si>
    <t>北方华创</t>
  </si>
  <si>
    <t>002371.SZ</t>
  </si>
  <si>
    <t>潍柴动力</t>
  </si>
  <si>
    <t>000338.SZ</t>
  </si>
  <si>
    <t>福耀玻璃</t>
  </si>
  <si>
    <t>600660.SH</t>
  </si>
  <si>
    <t>温氏股份</t>
  </si>
  <si>
    <t>300498.SZ</t>
  </si>
  <si>
    <t>中国铝业</t>
  </si>
  <si>
    <t>601600.SH</t>
  </si>
  <si>
    <t>中国中铁</t>
  </si>
  <si>
    <t>601390.SH</t>
  </si>
  <si>
    <t>三一重工</t>
  </si>
  <si>
    <t>600031.SH</t>
  </si>
  <si>
    <t>国电南瑞</t>
  </si>
  <si>
    <t>600406.SH</t>
  </si>
  <si>
    <t>上汽集团</t>
  </si>
  <si>
    <t>600104.SH</t>
  </si>
  <si>
    <t>大秦铁路</t>
  </si>
  <si>
    <t>601006.SH</t>
  </si>
  <si>
    <t>新华保险</t>
  </si>
  <si>
    <t>601336.SH</t>
  </si>
  <si>
    <t>广发证券</t>
  </si>
  <si>
    <t>000776.SZ</t>
  </si>
  <si>
    <t>中信银行</t>
  </si>
  <si>
    <t>601998.SH</t>
  </si>
  <si>
    <t>赛力斯</t>
  </si>
  <si>
    <t>601127.SH</t>
  </si>
  <si>
    <t>汇川技术</t>
  </si>
  <si>
    <t>300124.SZ</t>
  </si>
  <si>
    <t>新易盛</t>
  </si>
  <si>
    <t>300502.SZ</t>
  </si>
  <si>
    <t>徐工机械</t>
  </si>
  <si>
    <t>000425.SZ</t>
  </si>
  <si>
    <t>招商证券</t>
  </si>
  <si>
    <t>600999.SH</t>
  </si>
  <si>
    <t>华夏银行</t>
  </si>
  <si>
    <t>600015.SH</t>
  </si>
  <si>
    <t>保利发展</t>
  </si>
  <si>
    <t>600048.SH</t>
  </si>
  <si>
    <t>中国电建</t>
  </si>
  <si>
    <t>601669.SH</t>
  </si>
  <si>
    <t>中国船舶</t>
  </si>
  <si>
    <t>600150.SH</t>
  </si>
  <si>
    <t>国电电力</t>
  </si>
  <si>
    <t>600795.SH</t>
  </si>
  <si>
    <t>华友钴业</t>
  </si>
  <si>
    <t>603799.SH</t>
  </si>
  <si>
    <t>浙商银行</t>
  </si>
  <si>
    <t>601916.SH</t>
  </si>
  <si>
    <t>亿纬锂能</t>
  </si>
  <si>
    <t>300014.SZ</t>
  </si>
  <si>
    <t>宝钢股份</t>
  </si>
  <si>
    <t>600019.SH</t>
  </si>
  <si>
    <t>分众传媒</t>
  </si>
  <si>
    <t>002027.SZ</t>
  </si>
  <si>
    <t>沪农商行</t>
  </si>
  <si>
    <t>601825.SH</t>
  </si>
  <si>
    <t>海天味业</t>
  </si>
  <si>
    <t>603288.SH</t>
  </si>
  <si>
    <t>成都银行</t>
  </si>
  <si>
    <t>601838.SH</t>
  </si>
  <si>
    <t>海螺水泥</t>
  </si>
  <si>
    <t>600585.SH</t>
  </si>
  <si>
    <t>特变电工</t>
  </si>
  <si>
    <t>600089.SH</t>
  </si>
  <si>
    <t>海光信息</t>
  </si>
  <si>
    <t>688041.SH</t>
  </si>
  <si>
    <t>中国铁建</t>
  </si>
  <si>
    <t>601186.SH</t>
  </si>
  <si>
    <t>盐湖股份</t>
  </si>
  <si>
    <t>000792.SZ</t>
  </si>
  <si>
    <t>市值增长率</t>
  </si>
  <si>
    <t>PE增长率</t>
    <phoneticPr fontId="2" type="noConversion"/>
  </si>
  <si>
    <t>PETTM增长率</t>
    <phoneticPr fontId="2" type="noConversion"/>
  </si>
  <si>
    <t>PB增长率</t>
    <phoneticPr fontId="2" type="noConversion"/>
  </si>
  <si>
    <t>PS增长率</t>
    <phoneticPr fontId="2" type="noConversion"/>
  </si>
  <si>
    <t>PSTTM增长率</t>
    <phoneticPr fontId="2" type="noConversion"/>
  </si>
  <si>
    <t>时间段（从这个日期起两周）</t>
    <phoneticPr fontId="3" type="noConversion"/>
  </si>
  <si>
    <t>公司名称</t>
  </si>
  <si>
    <t>公司代码</t>
  </si>
  <si>
    <t>月份</t>
  </si>
  <si>
    <t>核心信息量</t>
  </si>
  <si>
    <t>超额收益</t>
    <phoneticPr fontId="3" type="noConversion"/>
  </si>
  <si>
    <t>波动率</t>
    <phoneticPr fontId="3" type="noConversion"/>
  </si>
  <si>
    <t>市值增长率</t>
    <phoneticPr fontId="3" type="noConversion"/>
  </si>
  <si>
    <t>PB变化率</t>
    <phoneticPr fontId="3" type="noConversion"/>
  </si>
  <si>
    <t>成份券代码Constituent Code</t>
  </si>
  <si>
    <t>成份券名称Constituent Name</t>
  </si>
  <si>
    <t>交易所Exchange</t>
  </si>
  <si>
    <t>平均新排名</t>
  </si>
  <si>
    <t>公司全称</t>
  </si>
  <si>
    <t>主要高管</t>
  </si>
  <si>
    <t>总发稿量</t>
  </si>
  <si>
    <r>
      <t>总阅读量</t>
    </r>
    <r>
      <rPr>
        <b/>
        <sz val="14"/>
        <rFont val="Arial"/>
        <family val="2"/>
      </rPr>
      <t>/</t>
    </r>
    <r>
      <rPr>
        <b/>
        <sz val="14"/>
        <rFont val="宋体"/>
        <family val="3"/>
        <charset val="134"/>
      </rPr>
      <t>浏览量</t>
    </r>
  </si>
  <si>
    <t>媒体覆盖范围</t>
  </si>
  <si>
    <t>内容质量衡量指标</t>
  </si>
  <si>
    <t>中央媒体</t>
  </si>
  <si>
    <t>地方媒体</t>
  </si>
  <si>
    <t>财经证券类</t>
  </si>
  <si>
    <t>微信公众号</t>
  </si>
  <si>
    <t>其他媒体</t>
  </si>
  <si>
    <t>得分1</t>
  </si>
  <si>
    <t xml:space="preserve">P_o </t>
  </si>
  <si>
    <t>P_r</t>
  </si>
  <si>
    <t>P_c</t>
  </si>
  <si>
    <t>得分2</t>
  </si>
  <si>
    <t>Q</t>
  </si>
  <si>
    <t>HHI</t>
  </si>
  <si>
    <t>B</t>
  </si>
  <si>
    <t>600036</t>
  </si>
  <si>
    <t>上海证券交易所</t>
  </si>
  <si>
    <t>招商银行股份有限公司</t>
  </si>
  <si>
    <t>董事长：缪建民</t>
  </si>
  <si>
    <t>601318</t>
  </si>
  <si>
    <t>中国平安保险（集团）股份有限公司</t>
  </si>
  <si>
    <t>董事长：马明哲</t>
  </si>
  <si>
    <t>600519</t>
  </si>
  <si>
    <t>贵州茅台酒股份有限公司</t>
  </si>
  <si>
    <t>董事长：丁雄军</t>
  </si>
  <si>
    <t>601398</t>
  </si>
  <si>
    <t>中国工商银行股份有限公司</t>
  </si>
  <si>
    <t>董事长：廖林</t>
  </si>
  <si>
    <t>300750</t>
  </si>
  <si>
    <t>深圳证券交易所</t>
  </si>
  <si>
    <t>宁德时代新能源科技股份有限公司</t>
  </si>
  <si>
    <t>董事长：曾毓群</t>
  </si>
  <si>
    <t>601166</t>
  </si>
  <si>
    <t>兴业银行股份有限公司</t>
  </si>
  <si>
    <t>董事长：吕家进</t>
  </si>
  <si>
    <t>601288</t>
  </si>
  <si>
    <t>中国农业银行股份有限公司</t>
  </si>
  <si>
    <t>董事长：谷澍</t>
  </si>
  <si>
    <t>601899</t>
  </si>
  <si>
    <t>紫金矿业集团股份有限公司</t>
  </si>
  <si>
    <t>董事长：陈景河</t>
  </si>
  <si>
    <t>000333</t>
  </si>
  <si>
    <t>美的集团股份有限公司</t>
  </si>
  <si>
    <t>董事长：方洪波</t>
  </si>
  <si>
    <t>002594</t>
  </si>
  <si>
    <t>比亚迪股份有限公司</t>
  </si>
  <si>
    <t>董事长：王传福</t>
  </si>
  <si>
    <t>601328</t>
  </si>
  <si>
    <t>交通银行股份有限公司</t>
  </si>
  <si>
    <t>董事长：任德奇</t>
  </si>
  <si>
    <t>600900</t>
  </si>
  <si>
    <t>中国长江电力股份有限公司</t>
  </si>
  <si>
    <t>董事长：雷鸣山</t>
  </si>
  <si>
    <t>000858</t>
  </si>
  <si>
    <t>宜宾五粮液股份有限公司</t>
  </si>
  <si>
    <t>董事长：曾从钦</t>
  </si>
  <si>
    <t>600030</t>
  </si>
  <si>
    <t>中信证券股份有限公司</t>
  </si>
  <si>
    <t>董事长：张佑君</t>
  </si>
  <si>
    <t>601088</t>
  </si>
  <si>
    <t>中国神华能源股份有限公司</t>
  </si>
  <si>
    <t>董事长：王祥喜</t>
  </si>
  <si>
    <t>000651</t>
  </si>
  <si>
    <t>格力电器股份有限公司</t>
  </si>
  <si>
    <t>董事长：董明珠</t>
  </si>
  <si>
    <t>601138</t>
  </si>
  <si>
    <t>工业富联（富士康工业互联网股份有限公司）</t>
  </si>
  <si>
    <t>董事长：李军旗</t>
  </si>
  <si>
    <t>600000</t>
  </si>
  <si>
    <t>上海浦东发展银行股份有限公司</t>
  </si>
  <si>
    <t>董事长：张为忠</t>
  </si>
  <si>
    <t>600919</t>
  </si>
  <si>
    <t>江苏银行股份有限公司</t>
  </si>
  <si>
    <t>董事长：夏平</t>
  </si>
  <si>
    <t>601668</t>
  </si>
  <si>
    <t>中国建筑股份有限公司</t>
  </si>
  <si>
    <t>董事长：郑学选</t>
  </si>
  <si>
    <t>601601</t>
  </si>
  <si>
    <t>中国太平洋保险（集团）股份有限公司</t>
  </si>
  <si>
    <t>董事长：傅帆</t>
  </si>
  <si>
    <t>600941</t>
  </si>
  <si>
    <t>中国移动有限公司</t>
  </si>
  <si>
    <t>董事长：杨杰</t>
  </si>
  <si>
    <t>601857</t>
  </si>
  <si>
    <t>中国石油天然气股份有限公司</t>
  </si>
  <si>
    <t>董事长：戴厚良</t>
  </si>
  <si>
    <t>000001</t>
  </si>
  <si>
    <t>平安银行股份有限公司</t>
  </si>
  <si>
    <t>董事长：冀光恒</t>
  </si>
  <si>
    <t>002475</t>
  </si>
  <si>
    <t>立讯精密工业股份有限公司</t>
  </si>
  <si>
    <t>董事长：王来春</t>
  </si>
  <si>
    <t>601211</t>
  </si>
  <si>
    <t>国泰君安证券股份有限公司</t>
  </si>
  <si>
    <t>董事长：朱健</t>
  </si>
  <si>
    <t>601728</t>
  </si>
  <si>
    <t>中国电信股份有限公司</t>
  </si>
  <si>
    <t>董事长：柯瑞文</t>
  </si>
  <si>
    <t>601919</t>
  </si>
  <si>
    <t>中远海运控股股份有限公司</t>
  </si>
  <si>
    <t>董事长：万敏</t>
  </si>
  <si>
    <t>002714</t>
  </si>
  <si>
    <t>牧原食品股份有限公司</t>
  </si>
  <si>
    <t>董事长：秦英林</t>
  </si>
  <si>
    <t>300059</t>
  </si>
  <si>
    <t>东方财富信息股份有限公司</t>
  </si>
  <si>
    <t>董事长：其实</t>
  </si>
  <si>
    <t>601988</t>
  </si>
  <si>
    <t>中国银行股份有限公司</t>
  </si>
  <si>
    <t>董事长：葛海蛟</t>
  </si>
  <si>
    <t>601939</t>
  </si>
  <si>
    <t>中国建设银行股份有限公司</t>
  </si>
  <si>
    <t>董事长：张金良</t>
  </si>
  <si>
    <t>601816</t>
  </si>
  <si>
    <t>京沪高速铁路股份有限公司</t>
  </si>
  <si>
    <t>董事长：刘洪润</t>
  </si>
  <si>
    <t>300274</t>
  </si>
  <si>
    <t>阳光电源股份有限公司</t>
  </si>
  <si>
    <t>董事长：曹仁贤</t>
  </si>
  <si>
    <t>600016</t>
  </si>
  <si>
    <t>中国民生银行股份有限公司</t>
  </si>
  <si>
    <t>董事长：高迎欣</t>
  </si>
  <si>
    <t>603259</t>
  </si>
  <si>
    <t>无锡药明康德新药开发股份有限公司</t>
  </si>
  <si>
    <t>董事长：李革</t>
  </si>
  <si>
    <t>603993</t>
  </si>
  <si>
    <t>洛阳栾川钼业集团股份有限公司</t>
  </si>
  <si>
    <t>董事长：袁宏林</t>
  </si>
  <si>
    <t>600028</t>
  </si>
  <si>
    <t>中国石油化工股份有限公司</t>
  </si>
  <si>
    <t>董事长：马永生</t>
  </si>
  <si>
    <t>600309</t>
  </si>
  <si>
    <t>万华化学集团股份有限公司</t>
  </si>
  <si>
    <t>董事长：廖增太</t>
  </si>
  <si>
    <t>601628</t>
  </si>
  <si>
    <t>中国人寿保险股份有限公司</t>
  </si>
  <si>
    <t>董事长：白涛</t>
  </si>
  <si>
    <t>600690</t>
  </si>
  <si>
    <t>海尔智家股份有限公司</t>
  </si>
  <si>
    <t>董事长：周云杰</t>
  </si>
  <si>
    <t>300760</t>
  </si>
  <si>
    <t>深圳迈瑞生物医疗电子股份有限公司</t>
  </si>
  <si>
    <t>董事长：李西廷</t>
  </si>
  <si>
    <t>601225</t>
  </si>
  <si>
    <t>陕西煤业股份有限公司</t>
  </si>
  <si>
    <t>董事长：杨照乾</t>
  </si>
  <si>
    <t>002142</t>
  </si>
  <si>
    <t>宁波银行股份有限公司</t>
  </si>
  <si>
    <t>董事长：陆华裕</t>
  </si>
  <si>
    <t>600938</t>
  </si>
  <si>
    <t>中国海洋石油有限公司</t>
  </si>
  <si>
    <t>董事长：汪东进</t>
  </si>
  <si>
    <t>600887</t>
  </si>
  <si>
    <t>内蒙古伊利实业集团股份有限公司</t>
  </si>
  <si>
    <t>董事长：潘刚</t>
  </si>
  <si>
    <t>601169</t>
  </si>
  <si>
    <t>北京银行股份有限公司</t>
  </si>
  <si>
    <t>董事长：霍学文</t>
  </si>
  <si>
    <t>601229</t>
  </si>
  <si>
    <t>上海银行股份有限公司</t>
  </si>
  <si>
    <t>董事长：金煜</t>
  </si>
  <si>
    <t>601658</t>
  </si>
  <si>
    <t>中国邮政储蓄银行股份有限公司</t>
  </si>
  <si>
    <t>董事长：刘建军</t>
  </si>
  <si>
    <t>000568</t>
  </si>
  <si>
    <t>泸州老窖股份有限公司</t>
  </si>
  <si>
    <t>董事长：刘淼</t>
  </si>
  <si>
    <t>601688</t>
  </si>
  <si>
    <t>华泰证券股份有限公司</t>
  </si>
  <si>
    <t>董事长：张伟</t>
  </si>
  <si>
    <t>002415</t>
  </si>
  <si>
    <t>杭州海康威视数字技术股份有限公司</t>
  </si>
  <si>
    <t>董事长：胡扬忠</t>
  </si>
  <si>
    <t>600050</t>
  </si>
  <si>
    <t>中国联合网络通信（香港）股份有限公司</t>
  </si>
  <si>
    <t>董事长：陈忠岳</t>
  </si>
  <si>
    <t>600276</t>
  </si>
  <si>
    <t>江苏恒瑞医药股份有限公司</t>
  </si>
  <si>
    <t>董事长：孙飘扬</t>
  </si>
  <si>
    <t>601009</t>
  </si>
  <si>
    <t>南京银行股份有限公司</t>
  </si>
  <si>
    <t>董事长：谢宁</t>
  </si>
  <si>
    <t>600809</t>
  </si>
  <si>
    <t>山西杏花村汾酒厂股份有限公司</t>
  </si>
  <si>
    <t>董事长：袁清茂</t>
  </si>
  <si>
    <t>601766</t>
  </si>
  <si>
    <t>中国中车股份有限公司</t>
  </si>
  <si>
    <t>董事长：孙永才</t>
  </si>
  <si>
    <t>000063</t>
  </si>
  <si>
    <t>中兴通讯股份有限公司</t>
  </si>
  <si>
    <t>董事长：李自学</t>
  </si>
  <si>
    <t>601818</t>
  </si>
  <si>
    <t>中国光大银行股份有限公司</t>
  </si>
  <si>
    <t>董事长：吴利军</t>
  </si>
  <si>
    <t>300308</t>
  </si>
  <si>
    <t>中际旭创股份有限公司</t>
  </si>
  <si>
    <t>董事长：王伟修</t>
  </si>
  <si>
    <t>002352</t>
  </si>
  <si>
    <t>顺丰控股股份有限公司</t>
  </si>
  <si>
    <t>董事长：王卫</t>
  </si>
  <si>
    <t>600926</t>
  </si>
  <si>
    <t>杭州银行股份有限公司</t>
  </si>
  <si>
    <t>董事长：宋剑斌</t>
  </si>
  <si>
    <t>688981</t>
  </si>
  <si>
    <t>中芯国际集成电路制造有限公司</t>
  </si>
  <si>
    <t>董事长：刘训峰</t>
  </si>
  <si>
    <t>601985</t>
  </si>
  <si>
    <t>中国核能电力股份有限公司</t>
  </si>
  <si>
    <t>董事长：卢铁忠</t>
  </si>
  <si>
    <t>002371</t>
  </si>
  <si>
    <t>北方华创科技集团股份有限公司</t>
  </si>
  <si>
    <t>董事长：赵晋荣</t>
  </si>
  <si>
    <t>600660</t>
  </si>
  <si>
    <t>福耀玻璃工业集团股份有限公司</t>
  </si>
  <si>
    <t>董事长：曹德旺</t>
  </si>
  <si>
    <t>000338</t>
  </si>
  <si>
    <t>潍柴动力股份有限公司</t>
  </si>
  <si>
    <t>董事长：谭旭光</t>
  </si>
  <si>
    <t>300498</t>
  </si>
  <si>
    <t>温氏食品集团股份有限公司</t>
  </si>
  <si>
    <t>董事长：温志芬</t>
  </si>
  <si>
    <t>601600</t>
  </si>
  <si>
    <t>中国铝业股份有限公司</t>
  </si>
  <si>
    <t>董事长：段向东</t>
  </si>
  <si>
    <t>601390</t>
  </si>
  <si>
    <t>中国中铁股份有限公司</t>
  </si>
  <si>
    <t>董事长：陈云</t>
  </si>
  <si>
    <t>600031</t>
  </si>
  <si>
    <t>三一重工股份有限公司</t>
  </si>
  <si>
    <t>董事长：向文波</t>
  </si>
  <si>
    <t>600406</t>
  </si>
  <si>
    <t>国电南瑞科技股份有限公司</t>
  </si>
  <si>
    <t>董事长：胡江溢</t>
  </si>
  <si>
    <t>600104</t>
  </si>
  <si>
    <t>上海汽车集团股份有限公司</t>
  </si>
  <si>
    <t>董事长：王晓秋</t>
  </si>
  <si>
    <t>601006</t>
  </si>
  <si>
    <t>大秦铁路股份有限公司</t>
  </si>
  <si>
    <t>董事长：包楚雄</t>
  </si>
  <si>
    <t>601336</t>
  </si>
  <si>
    <t>新华人寿保险股份有限公司</t>
  </si>
  <si>
    <t>董事长：杨玉成</t>
  </si>
  <si>
    <t>000776</t>
  </si>
  <si>
    <t>广发证券股份有限公司</t>
  </si>
  <si>
    <t>董事长：林传辉</t>
  </si>
  <si>
    <t>601127</t>
  </si>
  <si>
    <t>赛力斯集团股份有限公司</t>
  </si>
  <si>
    <t>董事长：张兴海</t>
  </si>
  <si>
    <t>601998</t>
  </si>
  <si>
    <t>中信银行股份有限公司</t>
  </si>
  <si>
    <t>董事长：方合英</t>
  </si>
  <si>
    <t>300124</t>
  </si>
  <si>
    <t>深圳市汇川技术股份有限公司</t>
  </si>
  <si>
    <t>董事长：朱兴明</t>
  </si>
  <si>
    <t>300502</t>
  </si>
  <si>
    <t>成都新易盛通信技术股份有限公司</t>
  </si>
  <si>
    <t>董事长：高光荣</t>
  </si>
  <si>
    <t>000425</t>
  </si>
  <si>
    <t>徐工集团工程机械股份有限公司</t>
  </si>
  <si>
    <t>董事长：杨东升</t>
  </si>
  <si>
    <t>600999</t>
  </si>
  <si>
    <t>招商证券股份有限公司</t>
  </si>
  <si>
    <t>董事长：霍达</t>
  </si>
  <si>
    <t>600015</t>
  </si>
  <si>
    <t>华夏银行股份有限公司</t>
  </si>
  <si>
    <t>董事长：李民吉</t>
  </si>
  <si>
    <t>600048</t>
  </si>
  <si>
    <t>保利发展控股集团股份有限公司</t>
  </si>
  <si>
    <t>董事长：刘平</t>
  </si>
  <si>
    <t>601669</t>
  </si>
  <si>
    <t>中国电力建设股份有限公司</t>
  </si>
  <si>
    <t>董事长：丁焰章</t>
  </si>
  <si>
    <t>600150</t>
  </si>
  <si>
    <t>中国船舶工业股份有限公司</t>
  </si>
  <si>
    <t>董事长：张英岱</t>
  </si>
  <si>
    <t>600795</t>
  </si>
  <si>
    <t>国电电力发展股份有限公司</t>
  </si>
  <si>
    <t>董事长：刘国跃</t>
  </si>
  <si>
    <t>603799</t>
  </si>
  <si>
    <t>浙江华友钴业股份有限公司</t>
  </si>
  <si>
    <t>董事长：陈雪华</t>
  </si>
  <si>
    <t>601916</t>
  </si>
  <si>
    <t>浙商银行股份有限公司</t>
  </si>
  <si>
    <t>董事长：陆建强</t>
  </si>
  <si>
    <t>300014</t>
  </si>
  <si>
    <t>惠州亿纬锂能股份有限公司</t>
  </si>
  <si>
    <t>董事长：刘金成</t>
  </si>
  <si>
    <t>600019</t>
  </si>
  <si>
    <t>宝山钢铁股份有限公司</t>
  </si>
  <si>
    <t>董事长：邹继新</t>
  </si>
  <si>
    <t>002027</t>
  </si>
  <si>
    <t>分众传媒信息技术股份有限公司</t>
  </si>
  <si>
    <t>董事长：江南春</t>
  </si>
  <si>
    <t>601825</t>
  </si>
  <si>
    <t>上海农村商业银行股份有限公司</t>
  </si>
  <si>
    <t>董事长：徐力</t>
  </si>
  <si>
    <t>603288</t>
  </si>
  <si>
    <t>佛山市海天调味食品股份有限公司</t>
  </si>
  <si>
    <t>董事长：庞康</t>
  </si>
  <si>
    <t>600585</t>
  </si>
  <si>
    <t>安徽海螺水泥股份有限公司</t>
  </si>
  <si>
    <t>董事长：杨军</t>
  </si>
  <si>
    <t>600089</t>
  </si>
  <si>
    <t>特变电工股份有限公司</t>
  </si>
  <si>
    <t>董事长：张新</t>
  </si>
  <si>
    <t>601838</t>
  </si>
  <si>
    <t>成都银行股份有限公司</t>
  </si>
  <si>
    <t>董事长：王晖</t>
  </si>
  <si>
    <t>688041</t>
  </si>
  <si>
    <t>海光信息技术股份有限公司</t>
  </si>
  <si>
    <t>董事长：王海峰</t>
  </si>
  <si>
    <t>000792</t>
  </si>
  <si>
    <t>青海盐湖工业股份有限公司</t>
  </si>
  <si>
    <t>董事长：贠红卫</t>
  </si>
  <si>
    <t>601186</t>
  </si>
  <si>
    <t>中国铁建股份有限公司</t>
  </si>
  <si>
    <t>董事长：戴和根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</si>
</sst>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0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4"/>
      <name val="宋体"/>
      <family val="3"/>
      <charset val="134"/>
    </font>
    <font>
      <b/>
      <sz val="14"/>
      <name val="Arial"/>
      <family val="2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14" fontId="0" fillId="0" borderId="0" xfId="0" applyNumberFormat="1" applyAlignment="1"/>
    <xf numFmtId="0" fontId="1" fillId="0" borderId="0" xfId="0" applyFont="1" applyAlignment="1"/>
    <xf numFmtId="0" fontId="4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/>
    <xf numFmtId="0" fontId="7" fillId="3" borderId="9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1"/>
  <sheetViews>
    <sheetView workbookViewId="0">
      <selection activeCell="R7" sqref="R7"/>
    </sheetView>
  </sheetViews>
  <sheetFormatPr defaultColWidth="9" defaultRowHeight="14.4" x14ac:dyDescent="0.25"/>
  <cols>
    <col min="3" max="3" width="12.88671875" customWidth="1"/>
  </cols>
  <sheetData>
    <row r="1" spans="1:12" x14ac:dyDescent="0.25">
      <c r="A1" s="1" t="s">
        <v>0</v>
      </c>
      <c r="B1" s="1" t="s">
        <v>1</v>
      </c>
      <c r="C1" s="1" t="s">
        <v>214</v>
      </c>
      <c r="D1" s="1" t="s">
        <v>2</v>
      </c>
      <c r="E1" s="1" t="s">
        <v>3</v>
      </c>
      <c r="F1" s="1" t="s">
        <v>4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</row>
    <row r="2" spans="1:12" x14ac:dyDescent="0.25">
      <c r="A2" t="s">
        <v>6</v>
      </c>
      <c r="B2" s="2" t="s">
        <v>7</v>
      </c>
      <c r="C2" s="3">
        <v>45873</v>
      </c>
      <c r="D2" s="2">
        <v>0.37</v>
      </c>
      <c r="E2" s="2">
        <v>0.12</v>
      </c>
      <c r="F2" s="2">
        <v>0.51</v>
      </c>
      <c r="G2">
        <v>-3.0957683741301058E-2</v>
      </c>
      <c r="H2" s="2">
        <v>-2.5207301242482921E-2</v>
      </c>
      <c r="I2" s="2">
        <v>-2.5217723553669982E-2</v>
      </c>
      <c r="J2" s="2">
        <v>-2.5285481239804276E-2</v>
      </c>
      <c r="K2">
        <v>-2.5215400373561452E-2</v>
      </c>
      <c r="L2">
        <v>-2.5224902119011336E-2</v>
      </c>
    </row>
    <row r="3" spans="1:12" x14ac:dyDescent="0.25">
      <c r="B3" s="2" t="s">
        <v>7</v>
      </c>
      <c r="C3" s="3">
        <v>45887</v>
      </c>
      <c r="D3" s="2">
        <v>0.45</v>
      </c>
      <c r="E3" s="2">
        <v>0.14000000000000001</v>
      </c>
      <c r="F3" s="2">
        <v>0.41</v>
      </c>
      <c r="G3">
        <v>-3.5164330039484E-2</v>
      </c>
      <c r="H3" s="2">
        <v>-9.4712668668723212E-3</v>
      </c>
      <c r="I3" s="2">
        <v>-9.4748935595053117E-3</v>
      </c>
      <c r="J3" s="2">
        <v>-9.3909809390980929E-3</v>
      </c>
      <c r="K3">
        <v>-9.456995395123213E-3</v>
      </c>
      <c r="L3">
        <v>-9.4741683274566692E-3</v>
      </c>
    </row>
    <row r="4" spans="1:12" x14ac:dyDescent="0.25">
      <c r="B4" s="2" t="s">
        <v>7</v>
      </c>
      <c r="C4" s="3">
        <v>45901</v>
      </c>
      <c r="D4" s="2">
        <v>0.48</v>
      </c>
      <c r="E4" s="2">
        <v>0.18</v>
      </c>
      <c r="F4" s="2">
        <v>0.34</v>
      </c>
      <c r="G4">
        <v>5.7170080988679329E-3</v>
      </c>
      <c r="H4" s="2">
        <v>-8.1625373830493449E-3</v>
      </c>
      <c r="I4" s="2">
        <v>-1.4682604661317693E-2</v>
      </c>
      <c r="J4" s="2">
        <v>-4.3176271822788978E-3</v>
      </c>
      <c r="K4">
        <v>-8.1744719353529626E-3</v>
      </c>
      <c r="L4">
        <v>-7.243236550486005E-3</v>
      </c>
    </row>
    <row r="5" spans="1:12" x14ac:dyDescent="0.25">
      <c r="B5" s="2" t="s">
        <v>7</v>
      </c>
      <c r="C5" s="3">
        <v>45915</v>
      </c>
      <c r="D5" s="2">
        <v>0.54</v>
      </c>
      <c r="E5" s="2">
        <v>0.18</v>
      </c>
      <c r="F5" s="2">
        <v>0.28000000000000003</v>
      </c>
      <c r="G5">
        <v>-3.6475603978657158E-2</v>
      </c>
      <c r="H5" s="2">
        <v>-4.0899597504806443E-2</v>
      </c>
      <c r="I5" s="2">
        <v>-4.0895745623753497E-2</v>
      </c>
      <c r="J5" s="2">
        <v>-4.0912518853695214E-2</v>
      </c>
      <c r="K5">
        <v>-4.0894649092453328E-2</v>
      </c>
      <c r="L5">
        <v>-4.0907957096532728E-2</v>
      </c>
    </row>
    <row r="6" spans="1:12" x14ac:dyDescent="0.25">
      <c r="B6" s="2" t="s">
        <v>7</v>
      </c>
      <c r="C6" s="3">
        <v>45929</v>
      </c>
      <c r="D6" s="2">
        <v>0.54</v>
      </c>
      <c r="E6" s="2">
        <v>0.19</v>
      </c>
      <c r="F6" s="2">
        <v>0.27</v>
      </c>
      <c r="G6">
        <v>-1.4011799410444314E-2</v>
      </c>
      <c r="H6" s="2">
        <v>-1.5200023074038749E-2</v>
      </c>
      <c r="I6" s="2">
        <v>-1.5204678362573188E-2</v>
      </c>
      <c r="J6" s="2">
        <v>-1.5136622763908078E-2</v>
      </c>
      <c r="K6">
        <v>-1.5185804716455116E-2</v>
      </c>
      <c r="L6">
        <v>-1.5182054616384904E-2</v>
      </c>
    </row>
    <row r="7" spans="1:12" x14ac:dyDescent="0.25">
      <c r="B7" s="2" t="s">
        <v>7</v>
      </c>
      <c r="C7" s="3">
        <v>45943</v>
      </c>
      <c r="D7" s="2">
        <v>0.53</v>
      </c>
      <c r="E7" s="2">
        <v>0.18</v>
      </c>
      <c r="F7" s="2">
        <v>0.28999999999999998</v>
      </c>
      <c r="G7">
        <v>4.587384692113064E-2</v>
      </c>
      <c r="H7" s="2">
        <v>4.4048734770384214E-2</v>
      </c>
      <c r="I7" s="2">
        <v>4.4060291487053233E-2</v>
      </c>
      <c r="J7" s="2">
        <v>4.4011976047904217E-2</v>
      </c>
      <c r="K7">
        <v>4.4028508625857471E-2</v>
      </c>
      <c r="L7">
        <v>4.4036576106691303E-2</v>
      </c>
    </row>
    <row r="8" spans="1:12" x14ac:dyDescent="0.25">
      <c r="A8" t="s">
        <v>8</v>
      </c>
      <c r="B8" s="2" t="s">
        <v>9</v>
      </c>
      <c r="C8" s="3">
        <v>45873</v>
      </c>
      <c r="D8" s="2">
        <v>0.68</v>
      </c>
      <c r="E8" s="2">
        <v>0.14000000000000001</v>
      </c>
      <c r="F8" s="2">
        <v>0.18</v>
      </c>
      <c r="G8">
        <v>1.941247208392791E-2</v>
      </c>
      <c r="H8" s="2">
        <v>2.7487426980922481E-2</v>
      </c>
      <c r="I8" s="2">
        <v>2.7490044235584838E-2</v>
      </c>
      <c r="J8" s="2">
        <v>2.7489047332703402E-2</v>
      </c>
      <c r="K8">
        <v>2.7572815533980562E-2</v>
      </c>
      <c r="L8">
        <v>2.7516778523490097E-2</v>
      </c>
    </row>
    <row r="9" spans="1:12" x14ac:dyDescent="0.25">
      <c r="B9" s="2" t="s">
        <v>9</v>
      </c>
      <c r="C9" s="3">
        <v>45887</v>
      </c>
      <c r="D9" s="2">
        <v>0.73</v>
      </c>
      <c r="E9" s="2">
        <v>0.13</v>
      </c>
      <c r="F9" s="2">
        <v>0.14000000000000001</v>
      </c>
      <c r="G9">
        <v>-1.3987192449541889E-2</v>
      </c>
      <c r="H9" s="2">
        <v>1.3370227410128637E-3</v>
      </c>
      <c r="I9" s="2">
        <v>-2.4693213660715103E-2</v>
      </c>
      <c r="J9" s="2">
        <v>-3.4194465345706831E-2</v>
      </c>
      <c r="K9">
        <v>1.3227513227513869E-3</v>
      </c>
      <c r="L9">
        <v>-1.6049267518895308E-2</v>
      </c>
    </row>
    <row r="10" spans="1:12" x14ac:dyDescent="0.25">
      <c r="B10" s="2" t="s">
        <v>9</v>
      </c>
      <c r="C10" s="3">
        <v>45901</v>
      </c>
      <c r="D10" s="2">
        <v>0.64</v>
      </c>
      <c r="E10" s="2">
        <v>0.12</v>
      </c>
      <c r="F10" s="2">
        <v>0.24</v>
      </c>
      <c r="G10">
        <v>-2.5687661939222287E-2</v>
      </c>
      <c r="H10" s="2">
        <v>-4.2170283418672523E-2</v>
      </c>
      <c r="I10" s="2">
        <v>-4.2171658795944721E-2</v>
      </c>
      <c r="J10" s="2">
        <v>-3.7049861495844834E-2</v>
      </c>
      <c r="K10">
        <v>-4.2177769390451196E-2</v>
      </c>
      <c r="L10">
        <v>-4.2105263157894729E-2</v>
      </c>
    </row>
    <row r="11" spans="1:12" x14ac:dyDescent="0.25">
      <c r="B11" s="2" t="s">
        <v>9</v>
      </c>
      <c r="C11" s="3">
        <v>45915</v>
      </c>
      <c r="D11" s="2">
        <v>0.72</v>
      </c>
      <c r="E11" s="2">
        <v>0.12</v>
      </c>
      <c r="F11" s="2">
        <v>0.16</v>
      </c>
      <c r="G11">
        <v>-2.3024594452788386E-2</v>
      </c>
      <c r="H11" s="2">
        <v>-4.26450087884113E-2</v>
      </c>
      <c r="I11" s="2">
        <v>-4.2649289753137525E-2</v>
      </c>
      <c r="J11" s="2">
        <v>-4.2700467457749094E-2</v>
      </c>
      <c r="K11">
        <v>-4.2655895970840213E-2</v>
      </c>
      <c r="L11">
        <v>-4.2669042669042694E-2</v>
      </c>
    </row>
    <row r="12" spans="1:12" x14ac:dyDescent="0.25">
      <c r="B12" s="2" t="s">
        <v>9</v>
      </c>
      <c r="C12" s="3">
        <v>45929</v>
      </c>
      <c r="D12" s="2">
        <v>0.66</v>
      </c>
      <c r="E12" s="2">
        <v>0.15</v>
      </c>
      <c r="F12" s="2">
        <v>0.19</v>
      </c>
      <c r="G12">
        <v>-1.6247098731924699E-2</v>
      </c>
      <c r="H12" s="2">
        <v>5.7991567165123822E-3</v>
      </c>
      <c r="I12" s="2">
        <v>5.7982497208916269E-3</v>
      </c>
      <c r="J12" s="2">
        <v>5.8221429242182208E-3</v>
      </c>
      <c r="K12">
        <v>5.7625025725458424E-3</v>
      </c>
      <c r="L12">
        <v>5.7911065149948808E-3</v>
      </c>
    </row>
    <row r="13" spans="1:12" x14ac:dyDescent="0.25">
      <c r="B13" s="2" t="s">
        <v>9</v>
      </c>
      <c r="C13" s="3">
        <v>45943</v>
      </c>
      <c r="D13" s="2">
        <v>0.68</v>
      </c>
      <c r="E13" s="2">
        <v>0.13</v>
      </c>
      <c r="F13" s="2">
        <v>0.19</v>
      </c>
      <c r="G13">
        <v>5.0453720508041477E-2</v>
      </c>
      <c r="H13" s="2">
        <v>4.2122490086234025E-2</v>
      </c>
      <c r="I13" s="2">
        <v>4.2132149336388994E-2</v>
      </c>
      <c r="J13" s="2">
        <v>6.152553449724589E-2</v>
      </c>
      <c r="K13">
        <v>4.2152649887456414E-2</v>
      </c>
      <c r="L13">
        <v>4.2155048324079826E-2</v>
      </c>
    </row>
    <row r="14" spans="1:12" x14ac:dyDescent="0.25">
      <c r="A14" t="s">
        <v>10</v>
      </c>
      <c r="B14" s="2" t="s">
        <v>11</v>
      </c>
      <c r="C14" s="3">
        <v>45873</v>
      </c>
      <c r="D14" s="2">
        <v>0.55000000000000004</v>
      </c>
      <c r="E14" s="2">
        <v>0.15</v>
      </c>
      <c r="F14" s="2">
        <v>0.3</v>
      </c>
      <c r="G14">
        <v>6.6948555320648145E-3</v>
      </c>
      <c r="H14" s="2">
        <v>3.5846981829456346E-3</v>
      </c>
      <c r="I14" s="2">
        <v>-6.7356735673568483E-3</v>
      </c>
      <c r="J14" s="2">
        <v>-5.9326187214898803E-2</v>
      </c>
      <c r="K14">
        <v>3.5811323290801493E-3</v>
      </c>
      <c r="L14">
        <v>-1.1234291242583636E-2</v>
      </c>
    </row>
    <row r="15" spans="1:12" x14ac:dyDescent="0.25">
      <c r="B15" s="2" t="s">
        <v>11</v>
      </c>
      <c r="C15" s="3">
        <v>45887</v>
      </c>
      <c r="D15" s="2">
        <v>0.6</v>
      </c>
      <c r="E15" s="2">
        <v>0.14000000000000001</v>
      </c>
      <c r="F15" s="2">
        <v>0.26</v>
      </c>
      <c r="G15">
        <v>3.0090917967415292E-2</v>
      </c>
      <c r="H15" s="2">
        <v>4.0729245606328915E-2</v>
      </c>
      <c r="I15" s="2">
        <v>4.0728378466820772E-2</v>
      </c>
      <c r="J15" s="2">
        <v>4.0731537886074594E-2</v>
      </c>
      <c r="K15">
        <v>4.0734717306036609E-2</v>
      </c>
      <c r="L15">
        <v>4.0735230982737396E-2</v>
      </c>
    </row>
    <row r="16" spans="1:12" x14ac:dyDescent="0.25">
      <c r="B16" s="2" t="s">
        <v>11</v>
      </c>
      <c r="C16" s="3">
        <v>45901</v>
      </c>
      <c r="D16" s="2">
        <v>0.51</v>
      </c>
      <c r="E16" s="2">
        <v>0.2</v>
      </c>
      <c r="F16" s="2">
        <v>0.28999999999999998</v>
      </c>
      <c r="G16">
        <v>2.6420974188733418E-2</v>
      </c>
      <c r="H16" s="2">
        <v>2.1121371358604195E-2</v>
      </c>
      <c r="I16" s="2">
        <v>2.1120049534884777E-2</v>
      </c>
      <c r="J16" s="2">
        <v>4.7455233938771574E-2</v>
      </c>
      <c r="K16">
        <v>2.1114461153803669E-2</v>
      </c>
      <c r="L16">
        <v>2.1114937787200607E-2</v>
      </c>
    </row>
    <row r="17" spans="1:12" x14ac:dyDescent="0.25">
      <c r="B17" s="2" t="s">
        <v>11</v>
      </c>
      <c r="C17" s="3">
        <v>45915</v>
      </c>
      <c r="D17" s="2">
        <v>0.56000000000000005</v>
      </c>
      <c r="E17" s="2">
        <v>0.26</v>
      </c>
      <c r="F17" s="2">
        <v>0.18</v>
      </c>
      <c r="G17">
        <v>-3.5799617187185599E-2</v>
      </c>
      <c r="H17" s="2">
        <v>-5.3428110735130527E-2</v>
      </c>
      <c r="I17" s="2">
        <v>-5.342770111185316E-2</v>
      </c>
      <c r="J17" s="2">
        <v>-5.3430062988652237E-2</v>
      </c>
      <c r="K17">
        <v>-5.3427555475536646E-2</v>
      </c>
      <c r="L17">
        <v>-5.3429161969184492E-2</v>
      </c>
    </row>
    <row r="18" spans="1:12" x14ac:dyDescent="0.25">
      <c r="B18" s="2" t="s">
        <v>11</v>
      </c>
      <c r="C18" s="3">
        <v>45929</v>
      </c>
      <c r="D18" s="2">
        <v>0.64</v>
      </c>
      <c r="E18" s="2">
        <v>0.14000000000000001</v>
      </c>
      <c r="F18" s="2">
        <v>0.22</v>
      </c>
      <c r="G18">
        <v>-2.8517448626204825E-2</v>
      </c>
      <c r="H18" s="2">
        <v>-3.4884502068118876E-3</v>
      </c>
      <c r="I18" s="2">
        <v>-3.4832917106666405E-3</v>
      </c>
      <c r="J18" s="2">
        <v>-3.4825613008466223E-3</v>
      </c>
      <c r="K18">
        <v>-3.4807417974322364E-3</v>
      </c>
      <c r="L18">
        <v>-3.4837672327374778E-3</v>
      </c>
    </row>
    <row r="19" spans="1:12" x14ac:dyDescent="0.25">
      <c r="B19" s="2" t="s">
        <v>11</v>
      </c>
      <c r="C19" s="3">
        <v>45943</v>
      </c>
      <c r="D19" s="2">
        <v>0.49</v>
      </c>
      <c r="E19" s="2">
        <v>0.19</v>
      </c>
      <c r="F19" s="2">
        <v>0.32</v>
      </c>
      <c r="G19">
        <v>2.170236753100337E-2</v>
      </c>
      <c r="H19" s="2">
        <v>1.3988202720597162E-2</v>
      </c>
      <c r="I19" s="2">
        <v>1.3981869773748904E-2</v>
      </c>
      <c r="J19" s="2">
        <v>1.3978927675938276E-2</v>
      </c>
      <c r="K19">
        <v>1.3981142159108225E-2</v>
      </c>
      <c r="L19">
        <v>1.3983785183562044E-2</v>
      </c>
    </row>
    <row r="20" spans="1:12" x14ac:dyDescent="0.25">
      <c r="A20" t="s">
        <v>12</v>
      </c>
      <c r="B20" s="2" t="s">
        <v>13</v>
      </c>
      <c r="C20" s="3">
        <v>45873</v>
      </c>
      <c r="D20" s="2">
        <v>0.53</v>
      </c>
      <c r="E20" s="2">
        <v>0.13</v>
      </c>
      <c r="F20" s="2">
        <v>0.34</v>
      </c>
      <c r="G20">
        <v>-1.9531250000234091E-2</v>
      </c>
      <c r="H20" s="2">
        <v>-9.1876599757510485E-3</v>
      </c>
      <c r="I20" s="2">
        <v>-9.1931631686391971E-3</v>
      </c>
      <c r="J20" s="2">
        <v>-9.1471616895344599E-3</v>
      </c>
      <c r="K20">
        <v>-9.1990195781764643E-3</v>
      </c>
      <c r="L20">
        <v>-9.1798164036719816E-3</v>
      </c>
    </row>
    <row r="21" spans="1:12" x14ac:dyDescent="0.25">
      <c r="B21" s="2" t="s">
        <v>13</v>
      </c>
      <c r="C21" s="3">
        <v>45887</v>
      </c>
      <c r="D21" s="2">
        <v>0.56999999999999995</v>
      </c>
      <c r="E21" s="2">
        <v>0.17</v>
      </c>
      <c r="F21" s="2">
        <v>0.26</v>
      </c>
      <c r="G21">
        <v>-1.9920318724970434E-2</v>
      </c>
      <c r="H21" s="2">
        <v>-1.5880785337466629E-2</v>
      </c>
      <c r="I21" s="2">
        <v>-1.5890543779794694E-2</v>
      </c>
      <c r="J21" s="2">
        <v>-1.588379038827049E-2</v>
      </c>
      <c r="K21">
        <v>-1.5881257062578275E-2</v>
      </c>
      <c r="L21">
        <v>-1.5895603730168271E-2</v>
      </c>
    </row>
    <row r="22" spans="1:12" x14ac:dyDescent="0.25">
      <c r="B22" s="2" t="s">
        <v>13</v>
      </c>
      <c r="C22" s="3">
        <v>45901</v>
      </c>
      <c r="D22" s="2">
        <v>0.54</v>
      </c>
      <c r="E22" s="2">
        <v>0.22</v>
      </c>
      <c r="F22" s="2">
        <v>0.24</v>
      </c>
      <c r="G22">
        <v>6.7750677505059708E-3</v>
      </c>
      <c r="H22" s="2">
        <v>6.7283780049736527E-3</v>
      </c>
      <c r="I22" s="2">
        <v>3.5852103232161983E-3</v>
      </c>
      <c r="J22" s="2">
        <v>-1.945095875293144E-2</v>
      </c>
      <c r="K22">
        <v>6.7343202060640072E-3</v>
      </c>
      <c r="L22">
        <v>-9.876011445097449E-3</v>
      </c>
    </row>
    <row r="23" spans="1:12" x14ac:dyDescent="0.25">
      <c r="B23" s="2" t="s">
        <v>13</v>
      </c>
      <c r="C23" s="3">
        <v>45915</v>
      </c>
      <c r="D23" s="2">
        <v>0.65</v>
      </c>
      <c r="E23" s="2">
        <v>0.18</v>
      </c>
      <c r="F23" s="2">
        <v>0.17</v>
      </c>
      <c r="G23">
        <v>-1.3458950201923362E-2</v>
      </c>
      <c r="H23" s="2">
        <v>-9.3595180259925682E-3</v>
      </c>
      <c r="I23" s="2">
        <v>-9.3536951186255785E-3</v>
      </c>
      <c r="J23" s="2">
        <v>-9.285312324141726E-3</v>
      </c>
      <c r="K23">
        <v>-9.3711467324291628E-3</v>
      </c>
      <c r="L23">
        <v>-9.3530545025169408E-3</v>
      </c>
    </row>
    <row r="24" spans="1:12" x14ac:dyDescent="0.25">
      <c r="B24" s="2" t="s">
        <v>13</v>
      </c>
      <c r="C24" s="3">
        <v>45929</v>
      </c>
      <c r="D24" s="2">
        <v>0.56000000000000005</v>
      </c>
      <c r="E24" s="2">
        <v>0.19</v>
      </c>
      <c r="F24" s="2">
        <v>0.25</v>
      </c>
      <c r="G24">
        <v>-8.1855388811807733E-3</v>
      </c>
      <c r="H24" s="2">
        <v>-1.3493107986423702E-2</v>
      </c>
      <c r="I24" s="2">
        <v>-1.3488589754177317E-2</v>
      </c>
      <c r="J24" s="2">
        <v>-1.349048565748376E-2</v>
      </c>
      <c r="K24">
        <v>-1.347398556136417E-2</v>
      </c>
      <c r="L24">
        <v>-1.3519023870016598E-2</v>
      </c>
    </row>
    <row r="25" spans="1:12" x14ac:dyDescent="0.25">
      <c r="B25" s="2" t="s">
        <v>13</v>
      </c>
      <c r="C25" s="3">
        <v>45943</v>
      </c>
      <c r="D25" s="2">
        <v>0.5</v>
      </c>
      <c r="E25" s="2">
        <v>0.21</v>
      </c>
      <c r="F25" s="2">
        <v>0.28999999999999998</v>
      </c>
      <c r="G25">
        <v>7.8404401650724098E-2</v>
      </c>
      <c r="H25" s="2">
        <v>7.2502843661793853E-2</v>
      </c>
      <c r="I25" s="2">
        <v>7.2494907497837505E-2</v>
      </c>
      <c r="J25" s="2">
        <v>7.2549301856916659E-2</v>
      </c>
      <c r="K25">
        <v>7.2485253761473675E-2</v>
      </c>
      <c r="L25">
        <v>7.2527821939586637E-2</v>
      </c>
    </row>
    <row r="26" spans="1:12" x14ac:dyDescent="0.25">
      <c r="A26" t="s">
        <v>14</v>
      </c>
      <c r="B26" s="2" t="s">
        <v>15</v>
      </c>
      <c r="C26" s="3">
        <v>45873</v>
      </c>
      <c r="D26" s="2">
        <v>0.66</v>
      </c>
      <c r="E26" s="2">
        <v>0.11</v>
      </c>
      <c r="F26" s="2">
        <v>0.23</v>
      </c>
      <c r="G26">
        <v>6.1993400035578843E-2</v>
      </c>
      <c r="H26" s="2">
        <v>6.6905564745751336E-2</v>
      </c>
      <c r="I26" s="2">
        <v>6.6898941139831858E-2</v>
      </c>
      <c r="J26" s="2">
        <v>6.6905997196882144E-2</v>
      </c>
      <c r="K26">
        <v>6.6914161535675407E-2</v>
      </c>
      <c r="L26">
        <v>6.6876696091581117E-2</v>
      </c>
    </row>
    <row r="27" spans="1:12" x14ac:dyDescent="0.25">
      <c r="B27" s="2" t="s">
        <v>15</v>
      </c>
      <c r="C27" s="3">
        <v>45887</v>
      </c>
      <c r="D27" s="2">
        <v>0.78</v>
      </c>
      <c r="E27" s="2">
        <v>0.08</v>
      </c>
      <c r="F27" s="2">
        <v>0.14000000000000001</v>
      </c>
      <c r="G27">
        <v>7.420595869247025E-2</v>
      </c>
      <c r="H27" s="2">
        <v>9.088854257128913E-2</v>
      </c>
      <c r="I27" s="2">
        <v>9.0890847061828359E-2</v>
      </c>
      <c r="J27" s="2">
        <v>0.10804332795575014</v>
      </c>
      <c r="K27">
        <v>9.0865371014738794E-2</v>
      </c>
      <c r="L27">
        <v>9.0898459199485346E-2</v>
      </c>
    </row>
    <row r="28" spans="1:12" x14ac:dyDescent="0.25">
      <c r="B28" s="2" t="s">
        <v>15</v>
      </c>
      <c r="C28" s="3">
        <v>45901</v>
      </c>
      <c r="D28" s="2">
        <v>0.75</v>
      </c>
      <c r="E28" s="2">
        <v>7.0000000000000007E-2</v>
      </c>
      <c r="F28" s="2">
        <v>0.18</v>
      </c>
      <c r="G28">
        <v>0.16691550549055792</v>
      </c>
      <c r="H28" s="2">
        <v>6.1592819987131876E-2</v>
      </c>
      <c r="I28" s="2">
        <v>6.1593778744042232E-2</v>
      </c>
      <c r="J28" s="2">
        <v>6.1587420441782108E-2</v>
      </c>
      <c r="K28">
        <v>6.1616659319001073E-2</v>
      </c>
      <c r="L28">
        <v>6.1588765008576331E-2</v>
      </c>
    </row>
    <row r="29" spans="1:12" x14ac:dyDescent="0.25">
      <c r="B29" s="2" t="s">
        <v>15</v>
      </c>
      <c r="C29" s="3">
        <v>45915</v>
      </c>
      <c r="D29" s="2">
        <v>0.8</v>
      </c>
      <c r="E29" s="2">
        <v>7.0000000000000007E-2</v>
      </c>
      <c r="F29" s="2">
        <v>0.13</v>
      </c>
      <c r="G29">
        <v>0.12073958185873157</v>
      </c>
      <c r="H29" s="2">
        <v>0.17092463044572501</v>
      </c>
      <c r="I29" s="2">
        <v>0.17092142159488327</v>
      </c>
      <c r="J29" s="2">
        <v>0.17092811379533293</v>
      </c>
      <c r="K29">
        <v>0.17089674377702327</v>
      </c>
      <c r="L29">
        <v>0.17094168139358742</v>
      </c>
    </row>
    <row r="30" spans="1:12" x14ac:dyDescent="0.25">
      <c r="B30" s="2" t="s">
        <v>15</v>
      </c>
      <c r="C30" s="3">
        <v>45929</v>
      </c>
      <c r="D30" s="2">
        <v>0.76</v>
      </c>
      <c r="E30" s="2">
        <v>0.1</v>
      </c>
      <c r="F30" s="2">
        <v>0.14000000000000001</v>
      </c>
      <c r="G30">
        <v>-5.7305165257994922E-2</v>
      </c>
      <c r="H30" s="2">
        <v>4.3367898981746004E-3</v>
      </c>
      <c r="I30" s="2">
        <v>4.3388909256636245E-3</v>
      </c>
      <c r="J30" s="2">
        <v>4.3505178789551733E-3</v>
      </c>
      <c r="K30">
        <v>4.3393903990986346E-3</v>
      </c>
      <c r="L30">
        <v>4.3336711153274463E-3</v>
      </c>
    </row>
    <row r="31" spans="1:12" x14ac:dyDescent="0.25">
      <c r="B31" s="2" t="s">
        <v>15</v>
      </c>
      <c r="C31" s="3">
        <v>45943</v>
      </c>
      <c r="D31" s="2">
        <v>0.71</v>
      </c>
      <c r="E31" s="2">
        <v>0.11</v>
      </c>
      <c r="F31" s="2">
        <v>0.18</v>
      </c>
      <c r="G31">
        <v>3.0093457943758468E-2</v>
      </c>
      <c r="H31" s="2">
        <v>1.0001717907879546E-2</v>
      </c>
      <c r="I31" s="2">
        <v>-7.5716424258458592E-2</v>
      </c>
      <c r="J31" s="2">
        <v>-6.6807723705912703E-2</v>
      </c>
      <c r="K31">
        <v>1.0012255665648921E-2</v>
      </c>
      <c r="L31">
        <v>-2.1145506848138679E-2</v>
      </c>
    </row>
    <row r="32" spans="1:12" x14ac:dyDescent="0.25">
      <c r="A32" t="s">
        <v>16</v>
      </c>
      <c r="B32" s="2" t="s">
        <v>17</v>
      </c>
      <c r="C32" s="3">
        <v>45873</v>
      </c>
      <c r="D32" s="2">
        <v>0.39</v>
      </c>
      <c r="E32" s="2">
        <v>0.08</v>
      </c>
      <c r="F32" s="2">
        <v>0.53</v>
      </c>
      <c r="G32">
        <v>-7.02370500290016E-3</v>
      </c>
      <c r="H32" s="2">
        <v>-9.3106854283725102E-3</v>
      </c>
      <c r="I32" s="2">
        <v>-9.309879084126586E-3</v>
      </c>
      <c r="J32" s="2">
        <v>-9.2188258127121579E-3</v>
      </c>
      <c r="K32">
        <v>-9.347042328748988E-3</v>
      </c>
      <c r="L32">
        <v>-9.3441466854726415E-3</v>
      </c>
    </row>
    <row r="33" spans="1:12" x14ac:dyDescent="0.25">
      <c r="B33" s="2" t="s">
        <v>17</v>
      </c>
      <c r="C33" s="3">
        <v>45887</v>
      </c>
      <c r="D33" s="2">
        <v>0.48</v>
      </c>
      <c r="E33" s="2">
        <v>0.14000000000000001</v>
      </c>
      <c r="F33" s="2">
        <v>0.38</v>
      </c>
      <c r="G33">
        <v>-3.5809018568085361E-2</v>
      </c>
      <c r="H33" s="2">
        <v>4.0371351050962978E-3</v>
      </c>
      <c r="I33" s="2">
        <v>-4.187427977861714E-3</v>
      </c>
      <c r="J33" s="2">
        <v>5.5664381325497905E-2</v>
      </c>
      <c r="K33">
        <v>4.04367165386186E-3</v>
      </c>
      <c r="L33">
        <v>6.4958177611675431E-3</v>
      </c>
    </row>
    <row r="34" spans="1:12" x14ac:dyDescent="0.25">
      <c r="B34" s="2" t="s">
        <v>17</v>
      </c>
      <c r="C34" s="3">
        <v>45901</v>
      </c>
      <c r="D34" s="2">
        <v>0.43</v>
      </c>
      <c r="E34" s="2">
        <v>0.18</v>
      </c>
      <c r="F34" s="2">
        <v>0.39</v>
      </c>
      <c r="G34">
        <v>-3.3929390188880172E-2</v>
      </c>
      <c r="H34" s="2">
        <v>-4.4181087108694568E-2</v>
      </c>
      <c r="I34" s="2">
        <v>-4.4169179365984967E-2</v>
      </c>
      <c r="J34" s="2">
        <v>-4.4224524509046029E-2</v>
      </c>
      <c r="K34">
        <v>-4.4167002282185529E-2</v>
      </c>
      <c r="L34">
        <v>-4.4160551675360218E-2</v>
      </c>
    </row>
    <row r="35" spans="1:12" x14ac:dyDescent="0.25">
      <c r="B35" s="2" t="s">
        <v>17</v>
      </c>
      <c r="C35" s="3">
        <v>45915</v>
      </c>
      <c r="D35" s="2">
        <v>0.69</v>
      </c>
      <c r="E35" s="2">
        <v>0.08</v>
      </c>
      <c r="F35" s="2">
        <v>0.23</v>
      </c>
      <c r="G35">
        <v>-4.8410061698356377E-2</v>
      </c>
      <c r="H35" s="2">
        <v>-5.1349740270799603E-2</v>
      </c>
      <c r="I35" s="2">
        <v>-5.1359877227385067E-2</v>
      </c>
      <c r="J35" s="2">
        <v>-5.1286199644070461E-2</v>
      </c>
      <c r="K35">
        <v>-5.135767790262178E-2</v>
      </c>
      <c r="L35">
        <v>-5.1334227443000605E-2</v>
      </c>
    </row>
    <row r="36" spans="1:12" x14ac:dyDescent="0.25">
      <c r="B36" s="2" t="s">
        <v>17</v>
      </c>
      <c r="C36" s="3">
        <v>45929</v>
      </c>
      <c r="D36" s="2">
        <v>0.61</v>
      </c>
      <c r="E36" s="2">
        <v>0.16</v>
      </c>
      <c r="F36" s="2">
        <v>0.23</v>
      </c>
      <c r="G36">
        <v>-1.7455624150492736E-2</v>
      </c>
      <c r="H36" s="2">
        <v>-3.1005385996409309E-2</v>
      </c>
      <c r="I36" s="2">
        <v>-3.0988801610554825E-2</v>
      </c>
      <c r="J36" s="2">
        <v>-3.1036834924965881E-2</v>
      </c>
      <c r="K36">
        <v>-3.0992449291812649E-2</v>
      </c>
      <c r="L36">
        <v>-3.1004728708623742E-2</v>
      </c>
    </row>
    <row r="37" spans="1:12" x14ac:dyDescent="0.25">
      <c r="B37" s="2" t="s">
        <v>17</v>
      </c>
      <c r="C37" s="3">
        <v>45943</v>
      </c>
      <c r="D37" s="2">
        <v>0.38</v>
      </c>
      <c r="E37" s="2">
        <v>0.35</v>
      </c>
      <c r="F37" s="2">
        <v>0.27</v>
      </c>
      <c r="G37">
        <v>4.5685279187086543E-2</v>
      </c>
      <c r="H37" s="2">
        <v>4.6208289329850036E-2</v>
      </c>
      <c r="I37" s="2">
        <v>4.6207497820400942E-2</v>
      </c>
      <c r="J37" s="2">
        <v>4.6286518831397373E-2</v>
      </c>
      <c r="K37">
        <v>4.6193022663610785E-2</v>
      </c>
      <c r="L37">
        <v>4.6184031795542528E-2</v>
      </c>
    </row>
    <row r="38" spans="1:12" x14ac:dyDescent="0.25">
      <c r="A38" t="s">
        <v>18</v>
      </c>
      <c r="B38" s="2" t="s">
        <v>19</v>
      </c>
      <c r="C38" s="3">
        <v>45873</v>
      </c>
      <c r="D38" s="2">
        <v>0.48</v>
      </c>
      <c r="E38" s="2">
        <v>0.15</v>
      </c>
      <c r="F38" s="2">
        <v>0.37</v>
      </c>
      <c r="G38">
        <v>8.4507042253798223E-2</v>
      </c>
      <c r="H38" s="2">
        <v>8.2152361307409355E-2</v>
      </c>
      <c r="I38" s="2">
        <v>8.2154425226286368E-2</v>
      </c>
      <c r="J38" s="2">
        <v>8.2055484022006381E-2</v>
      </c>
      <c r="K38">
        <v>8.2173327346205721E-2</v>
      </c>
      <c r="L38">
        <v>8.2150882825039989E-2</v>
      </c>
    </row>
    <row r="39" spans="1:12" x14ac:dyDescent="0.25">
      <c r="B39" s="2" t="s">
        <v>19</v>
      </c>
      <c r="C39" s="3">
        <v>45887</v>
      </c>
      <c r="D39" s="2">
        <v>0.49</v>
      </c>
      <c r="E39" s="2">
        <v>0.25</v>
      </c>
      <c r="F39" s="2">
        <v>0.26</v>
      </c>
      <c r="G39">
        <v>1.7316017316115408E-2</v>
      </c>
      <c r="H39" s="2">
        <v>2.4814976055724709E-2</v>
      </c>
      <c r="I39" s="2">
        <v>2.4808934529020627E-2</v>
      </c>
      <c r="J39" s="2">
        <v>2.4881003894418025E-2</v>
      </c>
      <c r="K39">
        <v>2.4807350326022489E-2</v>
      </c>
      <c r="L39">
        <v>2.4800498383221136E-2</v>
      </c>
    </row>
    <row r="40" spans="1:12" x14ac:dyDescent="0.25">
      <c r="B40" s="2" t="s">
        <v>19</v>
      </c>
      <c r="C40" s="3">
        <v>45901</v>
      </c>
      <c r="D40" s="2">
        <v>0.52</v>
      </c>
      <c r="E40" s="2">
        <v>0.2</v>
      </c>
      <c r="F40" s="2">
        <v>0.28000000000000003</v>
      </c>
      <c r="G40">
        <v>1.560283687941833E-2</v>
      </c>
      <c r="H40" s="2">
        <v>3.1332521986727584E-2</v>
      </c>
      <c r="I40" s="2">
        <v>2.3862022788404887E-2</v>
      </c>
      <c r="J40" s="2">
        <v>-1.3721764830060882E-3</v>
      </c>
      <c r="K40">
        <v>3.1350319576597174E-2</v>
      </c>
      <c r="L40">
        <v>2.7818787089303892E-2</v>
      </c>
    </row>
    <row r="41" spans="1:12" x14ac:dyDescent="0.25">
      <c r="B41" s="2" t="s">
        <v>19</v>
      </c>
      <c r="C41" s="3">
        <v>45915</v>
      </c>
      <c r="D41" s="2">
        <v>0.68</v>
      </c>
      <c r="E41" s="2">
        <v>0.14000000000000001</v>
      </c>
      <c r="F41" s="2">
        <v>0.18</v>
      </c>
      <c r="G41">
        <v>-7.5418994413629648E-2</v>
      </c>
      <c r="H41" s="2">
        <v>-8.5631268994845619E-2</v>
      </c>
      <c r="I41" s="2">
        <v>-8.5635359116022006E-2</v>
      </c>
      <c r="J41" s="2">
        <v>-8.5614628474791316E-2</v>
      </c>
      <c r="K41">
        <v>-8.563977454361911E-2</v>
      </c>
      <c r="L41">
        <v>-8.5647496197825732E-2</v>
      </c>
    </row>
    <row r="42" spans="1:12" x14ac:dyDescent="0.25">
      <c r="B42" s="2" t="s">
        <v>19</v>
      </c>
      <c r="C42" s="3">
        <v>45929</v>
      </c>
      <c r="D42" s="2">
        <v>0.62</v>
      </c>
      <c r="E42" s="2">
        <v>0.17</v>
      </c>
      <c r="F42" s="2">
        <v>0.21</v>
      </c>
      <c r="G42">
        <v>4.3806646525611226E-2</v>
      </c>
      <c r="H42" s="2">
        <v>3.1716077189992135E-2</v>
      </c>
      <c r="I42" s="2">
        <v>3.17158887724273E-2</v>
      </c>
      <c r="J42" s="2">
        <v>3.1788232574268833E-2</v>
      </c>
      <c r="K42">
        <v>3.1710982304413216E-2</v>
      </c>
      <c r="L42">
        <v>3.1726474665023797E-2</v>
      </c>
    </row>
    <row r="43" spans="1:12" x14ac:dyDescent="0.25">
      <c r="B43" s="2" t="s">
        <v>19</v>
      </c>
      <c r="C43" s="3">
        <v>45943</v>
      </c>
      <c r="D43" s="2">
        <v>0.63</v>
      </c>
      <c r="E43" s="2">
        <v>0.16</v>
      </c>
      <c r="F43" s="2">
        <v>0.21</v>
      </c>
      <c r="G43">
        <v>0.15629522431268433</v>
      </c>
      <c r="H43" s="2">
        <v>0.16984894972858147</v>
      </c>
      <c r="I43" s="2">
        <v>0.16983996079696886</v>
      </c>
      <c r="J43" s="2">
        <v>0.16984091418328487</v>
      </c>
      <c r="K43">
        <v>0.16985226360690828</v>
      </c>
      <c r="L43">
        <v>0.16984624570831472</v>
      </c>
    </row>
    <row r="44" spans="1:12" x14ac:dyDescent="0.25">
      <c r="A44" t="s">
        <v>20</v>
      </c>
      <c r="B44" s="2" t="s">
        <v>21</v>
      </c>
      <c r="C44" s="3">
        <v>45873</v>
      </c>
      <c r="D44" s="2">
        <v>0.88</v>
      </c>
      <c r="E44" s="2">
        <v>0.04</v>
      </c>
      <c r="F44" s="2">
        <v>0.08</v>
      </c>
      <c r="G44">
        <v>4.6277665996371793E-2</v>
      </c>
      <c r="H44" s="2">
        <v>0.10540288395915115</v>
      </c>
      <c r="I44" s="2">
        <v>0.10540031750045663</v>
      </c>
      <c r="J44" s="2">
        <v>0.10539969511379753</v>
      </c>
      <c r="K44">
        <v>0.10540989441214851</v>
      </c>
      <c r="L44">
        <v>0.10540556791533882</v>
      </c>
    </row>
    <row r="45" spans="1:12" x14ac:dyDescent="0.25">
      <c r="B45" s="2" t="s">
        <v>21</v>
      </c>
      <c r="C45" s="3">
        <v>45887</v>
      </c>
      <c r="D45" s="2">
        <v>0.77</v>
      </c>
      <c r="E45" s="2">
        <v>7.0000000000000007E-2</v>
      </c>
      <c r="F45" s="2">
        <v>0.16</v>
      </c>
      <c r="G45">
        <v>0.17211538461502282</v>
      </c>
      <c r="H45" s="2">
        <v>8.4074881758192027E-2</v>
      </c>
      <c r="I45" s="2">
        <v>-3.1753798445671624E-2</v>
      </c>
      <c r="J45" s="2">
        <v>5.6542146520855457E-2</v>
      </c>
      <c r="K45">
        <v>8.4089079688757756E-2</v>
      </c>
      <c r="L45">
        <v>3.9654046997389017E-2</v>
      </c>
    </row>
    <row r="46" spans="1:12" x14ac:dyDescent="0.25">
      <c r="B46" s="2" t="s">
        <v>21</v>
      </c>
      <c r="C46" s="3">
        <v>45901</v>
      </c>
      <c r="D46" s="2">
        <v>0.8</v>
      </c>
      <c r="E46" s="2">
        <v>0.05</v>
      </c>
      <c r="F46" s="2">
        <v>0.15</v>
      </c>
      <c r="G46">
        <v>4.5939294504014523E-2</v>
      </c>
      <c r="H46" s="2">
        <v>0.11135494388362906</v>
      </c>
      <c r="I46" s="2">
        <v>0.11135394106451411</v>
      </c>
      <c r="J46" s="2">
        <v>0.11136046165472073</v>
      </c>
      <c r="K46">
        <v>0.11132561132561127</v>
      </c>
      <c r="L46">
        <v>0.11139015329880191</v>
      </c>
    </row>
    <row r="47" spans="1:12" x14ac:dyDescent="0.25">
      <c r="B47" s="2" t="s">
        <v>21</v>
      </c>
      <c r="C47" s="3">
        <v>45915</v>
      </c>
      <c r="D47" s="2">
        <v>0.66</v>
      </c>
      <c r="E47" s="2">
        <v>0.14000000000000001</v>
      </c>
      <c r="F47" s="2">
        <v>0.2</v>
      </c>
      <c r="G47">
        <v>0.12823529411794207</v>
      </c>
      <c r="H47" s="2">
        <v>6.8222849083215811E-2</v>
      </c>
      <c r="I47" s="2">
        <v>6.822490064191504E-2</v>
      </c>
      <c r="J47" s="2">
        <v>6.8223028105167755E-2</v>
      </c>
      <c r="K47">
        <v>6.8237494989087349E-2</v>
      </c>
      <c r="L47">
        <v>6.8213915827134833E-2</v>
      </c>
    </row>
    <row r="48" spans="1:12" x14ac:dyDescent="0.25">
      <c r="B48" s="2" t="s">
        <v>21</v>
      </c>
      <c r="C48" s="3">
        <v>45929</v>
      </c>
      <c r="D48" s="2">
        <v>0.77</v>
      </c>
      <c r="E48" s="2">
        <v>7.0000000000000007E-2</v>
      </c>
      <c r="F48" s="2">
        <v>0.16</v>
      </c>
      <c r="G48">
        <v>8.7938825164817963E-2</v>
      </c>
      <c r="H48" s="2">
        <v>0.12664439661812155</v>
      </c>
      <c r="I48" s="2">
        <v>0.1266404997512301</v>
      </c>
      <c r="J48" s="2">
        <v>0.17556854348706666</v>
      </c>
      <c r="K48">
        <v>0.12663136388275031</v>
      </c>
      <c r="L48">
        <v>0.12661407606540043</v>
      </c>
    </row>
    <row r="49" spans="1:12" x14ac:dyDescent="0.25">
      <c r="B49" s="2" t="s">
        <v>21</v>
      </c>
      <c r="C49" s="3">
        <v>45943</v>
      </c>
      <c r="D49" s="2">
        <v>0.66</v>
      </c>
      <c r="E49" s="2">
        <v>0.12</v>
      </c>
      <c r="F49" s="2">
        <v>0.22</v>
      </c>
      <c r="G49">
        <v>-4.0575079872444804E-2</v>
      </c>
      <c r="H49" s="2">
        <v>-2.7212425679529351E-2</v>
      </c>
      <c r="I49" s="2">
        <v>-0.14035957173279415</v>
      </c>
      <c r="J49" s="2">
        <v>-0.21913200426614154</v>
      </c>
      <c r="K49">
        <v>-2.7202072538860148E-2</v>
      </c>
      <c r="L49">
        <v>-4.6549835706462296E-2</v>
      </c>
    </row>
    <row r="50" spans="1:12" x14ac:dyDescent="0.25">
      <c r="A50" t="s">
        <v>22</v>
      </c>
      <c r="B50" s="2" t="s">
        <v>23</v>
      </c>
      <c r="C50" s="3">
        <v>45873</v>
      </c>
      <c r="D50" s="2">
        <v>0.67</v>
      </c>
      <c r="E50" s="2">
        <v>0.18</v>
      </c>
      <c r="F50" s="2">
        <v>0.15</v>
      </c>
      <c r="G50">
        <v>1.2803426022663333E-2</v>
      </c>
      <c r="H50" s="2">
        <v>2.1436424898031506E-2</v>
      </c>
      <c r="I50" s="2">
        <v>2.1440101330738388E-2</v>
      </c>
      <c r="J50" s="2">
        <v>2.1229344675725528E-2</v>
      </c>
      <c r="K50">
        <v>2.1509405680881322E-2</v>
      </c>
      <c r="L50">
        <v>2.1473119128444077E-2</v>
      </c>
    </row>
    <row r="51" spans="1:12" x14ac:dyDescent="0.25">
      <c r="B51" s="2" t="s">
        <v>23</v>
      </c>
      <c r="C51" s="3">
        <v>45887</v>
      </c>
      <c r="D51" s="2">
        <v>0.76</v>
      </c>
      <c r="E51" s="2">
        <v>7.0000000000000007E-2</v>
      </c>
      <c r="F51" s="2">
        <v>0.17</v>
      </c>
      <c r="G51">
        <v>3.0484409800161517E-2</v>
      </c>
      <c r="H51" s="2">
        <v>1.9542073793204124E-2</v>
      </c>
      <c r="I51" s="2">
        <v>1.9538309149886954E-2</v>
      </c>
      <c r="J51" s="2">
        <v>1.9461133021267171E-2</v>
      </c>
      <c r="K51">
        <v>1.9515774027879646E-2</v>
      </c>
      <c r="L51">
        <v>1.9553288507612548E-2</v>
      </c>
    </row>
    <row r="52" spans="1:12" x14ac:dyDescent="0.25">
      <c r="B52" s="2" t="s">
        <v>23</v>
      </c>
      <c r="C52" s="3">
        <v>45901</v>
      </c>
      <c r="D52" s="2">
        <v>0.73</v>
      </c>
      <c r="E52" s="2">
        <v>0.09</v>
      </c>
      <c r="F52" s="2">
        <v>0.18</v>
      </c>
      <c r="G52">
        <v>1.6192858320089615E-2</v>
      </c>
      <c r="H52" s="2">
        <v>2.5999414212831366E-2</v>
      </c>
      <c r="I52" s="2">
        <v>-1.5922929166326791E-2</v>
      </c>
      <c r="J52" s="2">
        <v>-3.2466828157200145E-2</v>
      </c>
      <c r="K52">
        <v>2.5978698906160062E-2</v>
      </c>
      <c r="L52">
        <v>-2.1983020012127825E-3</v>
      </c>
    </row>
    <row r="53" spans="1:12" x14ac:dyDescent="0.25">
      <c r="B53" s="2" t="s">
        <v>23</v>
      </c>
      <c r="C53" s="3">
        <v>45915</v>
      </c>
      <c r="D53" s="2">
        <v>0.73</v>
      </c>
      <c r="E53" s="2">
        <v>0.11</v>
      </c>
      <c r="F53" s="2">
        <v>0.16</v>
      </c>
      <c r="G53">
        <v>-1.9005556057013026E-2</v>
      </c>
      <c r="H53" s="2">
        <v>-1.7951509679475175E-2</v>
      </c>
      <c r="I53" s="2">
        <v>-1.7951616549853104E-2</v>
      </c>
      <c r="J53" s="2">
        <v>-1.834759538133857E-2</v>
      </c>
      <c r="K53">
        <v>-1.7956091744406304E-2</v>
      </c>
      <c r="L53">
        <v>-1.8005014054546877E-2</v>
      </c>
    </row>
    <row r="54" spans="1:12" x14ac:dyDescent="0.25">
      <c r="B54" s="2" t="s">
        <v>23</v>
      </c>
      <c r="C54" s="3">
        <v>45929</v>
      </c>
      <c r="D54" s="2">
        <v>0.64</v>
      </c>
      <c r="E54" s="2">
        <v>0.17</v>
      </c>
      <c r="F54" s="2">
        <v>0.19</v>
      </c>
      <c r="G54">
        <v>-2.6011900981981619E-2</v>
      </c>
      <c r="H54" s="2">
        <v>-1.843514237040645E-2</v>
      </c>
      <c r="I54" s="2">
        <v>-1.8433250452773411E-2</v>
      </c>
      <c r="J54" s="2">
        <v>-1.8500190331176239E-2</v>
      </c>
      <c r="K54">
        <v>-1.8427255196057299E-2</v>
      </c>
      <c r="L54">
        <v>-1.8412501934086372E-2</v>
      </c>
    </row>
    <row r="55" spans="1:12" x14ac:dyDescent="0.25">
      <c r="B55" s="2" t="s">
        <v>23</v>
      </c>
      <c r="C55" s="3">
        <v>45943</v>
      </c>
      <c r="D55" s="2">
        <v>0.78</v>
      </c>
      <c r="E55" s="2">
        <v>0.06</v>
      </c>
      <c r="F55" s="2">
        <v>0.16</v>
      </c>
      <c r="G55">
        <v>3.9044099944640108E-2</v>
      </c>
      <c r="H55" s="2">
        <v>2.4497751330950404E-2</v>
      </c>
      <c r="I55" s="2">
        <v>2.4502368927180874E-2</v>
      </c>
      <c r="J55" s="2">
        <v>2.4394973627055696E-2</v>
      </c>
      <c r="K55">
        <v>2.4521574619806329E-2</v>
      </c>
      <c r="L55">
        <v>2.4511349306431375E-2</v>
      </c>
    </row>
    <row r="56" spans="1:12" x14ac:dyDescent="0.25">
      <c r="A56" t="s">
        <v>24</v>
      </c>
      <c r="B56" s="2" t="s">
        <v>25</v>
      </c>
      <c r="C56" s="3">
        <v>45873</v>
      </c>
      <c r="D56" s="2">
        <v>0.4</v>
      </c>
      <c r="E56" s="2">
        <v>0.13</v>
      </c>
      <c r="F56" s="2">
        <v>0.47</v>
      </c>
      <c r="G56">
        <v>-2.8720626631772734E-2</v>
      </c>
      <c r="H56" s="2">
        <v>-2.3659086480919633E-2</v>
      </c>
      <c r="I56" s="2">
        <v>-2.3658468418110649E-2</v>
      </c>
      <c r="J56" s="2">
        <v>-2.3642589271155975E-2</v>
      </c>
      <c r="K56">
        <v>-2.3646690622464328E-2</v>
      </c>
      <c r="L56">
        <v>-2.3661798142510269E-2</v>
      </c>
    </row>
    <row r="57" spans="1:12" x14ac:dyDescent="0.25">
      <c r="B57" s="2" t="s">
        <v>25</v>
      </c>
      <c r="C57" s="3">
        <v>45887</v>
      </c>
      <c r="D57" s="2">
        <v>0.5</v>
      </c>
      <c r="E57" s="2">
        <v>0.2</v>
      </c>
      <c r="F57" s="2">
        <v>0.3</v>
      </c>
      <c r="G57">
        <v>-3.3602150538020917E-2</v>
      </c>
      <c r="H57" s="2">
        <v>-2.1538329959802659E-2</v>
      </c>
      <c r="I57" s="2">
        <v>-2.152661485393681E-2</v>
      </c>
      <c r="J57" s="2">
        <v>-2.1543086172344728E-2</v>
      </c>
      <c r="K57">
        <v>-2.1567929083066206E-2</v>
      </c>
      <c r="L57">
        <v>-2.1511742648509961E-2</v>
      </c>
    </row>
    <row r="58" spans="1:12" x14ac:dyDescent="0.25">
      <c r="B58" s="2" t="s">
        <v>25</v>
      </c>
      <c r="C58" s="3">
        <v>45901</v>
      </c>
      <c r="D58" s="2">
        <v>0.45</v>
      </c>
      <c r="E58" s="2">
        <v>0.21</v>
      </c>
      <c r="F58" s="2">
        <v>0.34</v>
      </c>
      <c r="G58">
        <v>-1.2517385257198895E-2</v>
      </c>
      <c r="H58" s="2">
        <v>-1.9259065017554609E-2</v>
      </c>
      <c r="I58" s="2">
        <v>-2.2848616941912911E-2</v>
      </c>
      <c r="J58" s="2">
        <v>-3.9255845707458645E-2</v>
      </c>
      <c r="K58">
        <v>-1.9252548131370364E-2</v>
      </c>
      <c r="L58">
        <v>-2.56958450988303E-2</v>
      </c>
    </row>
    <row r="59" spans="1:12" x14ac:dyDescent="0.25">
      <c r="B59" s="2" t="s">
        <v>25</v>
      </c>
      <c r="C59" s="3">
        <v>45915</v>
      </c>
      <c r="D59" s="2">
        <v>0.56000000000000005</v>
      </c>
      <c r="E59" s="2">
        <v>0.22</v>
      </c>
      <c r="F59" s="2">
        <v>0.22</v>
      </c>
      <c r="G59">
        <v>-4.225352112694012E-2</v>
      </c>
      <c r="H59" s="2">
        <v>-4.3478260869565209E-2</v>
      </c>
      <c r="I59" s="2">
        <v>-4.3472403107737902E-2</v>
      </c>
      <c r="J59" s="2">
        <v>-4.3346953277669173E-2</v>
      </c>
      <c r="K59">
        <v>-4.3467502474430861E-2</v>
      </c>
      <c r="L59">
        <v>-4.3472860514221834E-2</v>
      </c>
    </row>
    <row r="60" spans="1:12" x14ac:dyDescent="0.25">
      <c r="B60" s="2" t="s">
        <v>25</v>
      </c>
      <c r="C60" s="3">
        <v>45929</v>
      </c>
      <c r="D60" s="2">
        <v>0.67</v>
      </c>
      <c r="E60" s="2">
        <v>0.12</v>
      </c>
      <c r="F60" s="2">
        <v>0.21</v>
      </c>
      <c r="G60">
        <v>-1.1764705880962789E-2</v>
      </c>
      <c r="H60" s="2">
        <v>-1.0264931515358513E-2</v>
      </c>
      <c r="I60" s="2">
        <v>-1.0266522684946204E-2</v>
      </c>
      <c r="J60" s="2">
        <v>-1.0399257195914464E-2</v>
      </c>
      <c r="K60">
        <v>-1.0261274467534727E-2</v>
      </c>
      <c r="L60">
        <v>-1.0258407998961102E-2</v>
      </c>
    </row>
    <row r="61" spans="1:12" x14ac:dyDescent="0.25">
      <c r="B61" s="2" t="s">
        <v>25</v>
      </c>
      <c r="C61" s="3">
        <v>45943</v>
      </c>
      <c r="D61" s="2">
        <v>0.55000000000000004</v>
      </c>
      <c r="E61" s="2">
        <v>0.21</v>
      </c>
      <c r="F61" s="2">
        <v>0.24</v>
      </c>
      <c r="G61">
        <v>7.5892857141571457E-2</v>
      </c>
      <c r="H61" s="2">
        <v>7.1124848979335603E-2</v>
      </c>
      <c r="I61" s="2">
        <v>7.1108932496323593E-2</v>
      </c>
      <c r="J61" s="2">
        <v>7.1120285231750666E-2</v>
      </c>
      <c r="K61">
        <v>7.1092524830109888E-2</v>
      </c>
      <c r="L61">
        <v>7.1109944896352598E-2</v>
      </c>
    </row>
    <row r="62" spans="1:12" x14ac:dyDescent="0.25">
      <c r="A62" t="s">
        <v>26</v>
      </c>
      <c r="B62" s="2" t="s">
        <v>27</v>
      </c>
      <c r="C62" s="3">
        <v>45873</v>
      </c>
      <c r="D62" s="2">
        <v>0.69</v>
      </c>
      <c r="E62" s="2">
        <v>0.12</v>
      </c>
      <c r="F62" s="2">
        <v>0.19</v>
      </c>
      <c r="G62">
        <v>3.3276125095510804E-2</v>
      </c>
      <c r="H62" s="2">
        <v>2.5539799520921365E-3</v>
      </c>
      <c r="I62" s="2">
        <v>2.5520876914065745E-3</v>
      </c>
      <c r="J62" s="2">
        <v>2.5472919363594584E-3</v>
      </c>
      <c r="K62">
        <v>2.4973817771690005E-3</v>
      </c>
      <c r="L62">
        <v>2.5581990278842766E-3</v>
      </c>
    </row>
    <row r="63" spans="1:12" x14ac:dyDescent="0.25">
      <c r="B63" s="2" t="s">
        <v>27</v>
      </c>
      <c r="C63" s="3">
        <v>45887</v>
      </c>
      <c r="D63" s="2">
        <v>0.7</v>
      </c>
      <c r="E63" s="2">
        <v>0.11</v>
      </c>
      <c r="F63" s="2">
        <v>0.19</v>
      </c>
      <c r="G63">
        <v>1.2272769217130252E-2</v>
      </c>
      <c r="H63" s="2">
        <v>7.5325302408444941E-2</v>
      </c>
      <c r="I63" s="2">
        <v>7.5324458540249439E-2</v>
      </c>
      <c r="J63" s="2">
        <v>7.5329056981006323E-2</v>
      </c>
      <c r="K63">
        <v>7.5377692060430823E-2</v>
      </c>
      <c r="L63">
        <v>7.5359360381049595E-2</v>
      </c>
    </row>
    <row r="64" spans="1:12" x14ac:dyDescent="0.25">
      <c r="B64" s="2" t="s">
        <v>27</v>
      </c>
      <c r="C64" s="3">
        <v>45901</v>
      </c>
      <c r="D64" s="2">
        <v>0.67</v>
      </c>
      <c r="E64" s="2">
        <v>0.14000000000000001</v>
      </c>
      <c r="F64" s="2">
        <v>0.19</v>
      </c>
      <c r="G64">
        <v>-9.1157702825843782E-3</v>
      </c>
      <c r="H64" s="2">
        <v>-7.1454009150944131E-2</v>
      </c>
      <c r="I64" s="2">
        <v>-1.1797578391803714E-2</v>
      </c>
      <c r="J64" s="2">
        <v>-0.11138225553425135</v>
      </c>
      <c r="K64">
        <v>-7.1439246749364915E-2</v>
      </c>
      <c r="L64">
        <v>-9.8552558728149997E-2</v>
      </c>
    </row>
    <row r="65" spans="1:12" x14ac:dyDescent="0.25">
      <c r="B65" s="2" t="s">
        <v>27</v>
      </c>
      <c r="C65" s="3">
        <v>45915</v>
      </c>
      <c r="D65" s="2">
        <v>0.66</v>
      </c>
      <c r="E65" s="2">
        <v>0.11</v>
      </c>
      <c r="F65" s="2">
        <v>0.23</v>
      </c>
      <c r="G65">
        <v>-8.2796688147567378E-4</v>
      </c>
      <c r="H65" s="2">
        <v>1.3031787389265232E-2</v>
      </c>
      <c r="I65" s="2">
        <v>1.3029287534471341E-2</v>
      </c>
      <c r="J65" s="2">
        <v>1.3033433590514816E-2</v>
      </c>
      <c r="K65">
        <v>1.303718010622887E-2</v>
      </c>
      <c r="L65">
        <v>1.2985873475476131E-2</v>
      </c>
    </row>
    <row r="66" spans="1:12" x14ac:dyDescent="0.25">
      <c r="B66" s="2" t="s">
        <v>27</v>
      </c>
      <c r="C66" s="3">
        <v>45929</v>
      </c>
      <c r="D66" s="2">
        <v>0.6</v>
      </c>
      <c r="E66" s="2">
        <v>0.19</v>
      </c>
      <c r="F66" s="2">
        <v>0.21</v>
      </c>
      <c r="G66">
        <v>-2.6885185526387068E-2</v>
      </c>
      <c r="H66" s="2">
        <v>4.6584170435512232E-3</v>
      </c>
      <c r="I66" s="2">
        <v>4.6605387617267282E-3</v>
      </c>
      <c r="J66" s="2">
        <v>4.6686746987951921E-3</v>
      </c>
      <c r="K66">
        <v>4.6075627581824178E-3</v>
      </c>
      <c r="L66">
        <v>4.6773495019487646E-3</v>
      </c>
    </row>
    <row r="67" spans="1:12" x14ac:dyDescent="0.25">
      <c r="B67" s="2" t="s">
        <v>27</v>
      </c>
      <c r="C67" s="3">
        <v>45943</v>
      </c>
      <c r="D67" s="2">
        <v>0.64</v>
      </c>
      <c r="E67" s="2">
        <v>0.18</v>
      </c>
      <c r="F67" s="2">
        <v>0.18</v>
      </c>
      <c r="G67">
        <v>-1.8260951840855535E-2</v>
      </c>
      <c r="H67" s="2">
        <v>-3.7385359619551681E-2</v>
      </c>
      <c r="I67" s="2">
        <v>-3.7385741969782713E-2</v>
      </c>
      <c r="J67" s="2">
        <v>-3.7389982225838891E-2</v>
      </c>
      <c r="K67">
        <v>-3.740313142495643E-2</v>
      </c>
      <c r="L67">
        <v>-3.7417018708509255E-2</v>
      </c>
    </row>
    <row r="68" spans="1:12" x14ac:dyDescent="0.25">
      <c r="A68" t="s">
        <v>28</v>
      </c>
      <c r="B68" s="2" t="s">
        <v>29</v>
      </c>
      <c r="C68" s="3">
        <v>45873</v>
      </c>
      <c r="D68" s="2">
        <v>0.61</v>
      </c>
      <c r="E68" s="2">
        <v>0.09</v>
      </c>
      <c r="F68" s="2">
        <v>0.3</v>
      </c>
      <c r="G68">
        <v>-1.7768301350396941E-2</v>
      </c>
      <c r="H68" s="2">
        <v>-1.286339933476615E-2</v>
      </c>
      <c r="I68" s="2">
        <v>-1.2862729469200621E-2</v>
      </c>
      <c r="J68" s="2">
        <v>-1.2857555619763006E-2</v>
      </c>
      <c r="K68">
        <v>-1.2867488310694977E-2</v>
      </c>
      <c r="L68">
        <v>-1.2861209785100657E-2</v>
      </c>
    </row>
    <row r="69" spans="1:12" x14ac:dyDescent="0.25">
      <c r="B69" s="2" t="s">
        <v>29</v>
      </c>
      <c r="C69" s="3">
        <v>45887</v>
      </c>
      <c r="D69" s="2">
        <v>0.72</v>
      </c>
      <c r="E69" s="2">
        <v>0.05</v>
      </c>
      <c r="F69" s="2">
        <v>0.23</v>
      </c>
      <c r="G69">
        <v>5.4269175117429274E-3</v>
      </c>
      <c r="H69" s="2">
        <v>1.6650484036877126E-2</v>
      </c>
      <c r="I69" s="2">
        <v>1.6648751217493478E-2</v>
      </c>
      <c r="J69" s="2">
        <v>1.6654470949802349E-2</v>
      </c>
      <c r="K69">
        <v>1.6659584572699802E-2</v>
      </c>
      <c r="L69">
        <v>1.6640081669112468E-2</v>
      </c>
    </row>
    <row r="70" spans="1:12" x14ac:dyDescent="0.25">
      <c r="B70" s="2" t="s">
        <v>29</v>
      </c>
      <c r="C70" s="3">
        <v>45901</v>
      </c>
      <c r="D70" s="2">
        <v>0.66</v>
      </c>
      <c r="E70" s="2">
        <v>0.08</v>
      </c>
      <c r="F70" s="2">
        <v>0.26</v>
      </c>
      <c r="G70">
        <v>3.5984166942970103E-4</v>
      </c>
      <c r="H70" s="2">
        <v>-5.6972379034164432E-3</v>
      </c>
      <c r="I70" s="2">
        <v>-7.7983837340904931E-3</v>
      </c>
      <c r="J70" s="2">
        <v>-4.7302355041170009E-2</v>
      </c>
      <c r="K70">
        <v>-5.7039595805623089E-3</v>
      </c>
      <c r="L70">
        <v>-6.9663231620830483E-3</v>
      </c>
    </row>
    <row r="71" spans="1:12" x14ac:dyDescent="0.25">
      <c r="B71" s="2" t="s">
        <v>29</v>
      </c>
      <c r="C71" s="3">
        <v>45915</v>
      </c>
      <c r="D71" s="2">
        <v>0.74</v>
      </c>
      <c r="E71" s="2">
        <v>0.02</v>
      </c>
      <c r="F71" s="2">
        <v>0.24</v>
      </c>
      <c r="G71">
        <v>-1.798561151078603E-2</v>
      </c>
      <c r="H71" s="2">
        <v>-1.6471628760681079E-2</v>
      </c>
      <c r="I71" s="2">
        <v>-1.6469799530720787E-2</v>
      </c>
      <c r="J71" s="2">
        <v>-1.6469734973255566E-2</v>
      </c>
      <c r="K71">
        <v>-1.6468231890508566E-2</v>
      </c>
      <c r="L71">
        <v>-1.6469904188891989E-2</v>
      </c>
    </row>
    <row r="72" spans="1:12" x14ac:dyDescent="0.25">
      <c r="B72" s="2" t="s">
        <v>29</v>
      </c>
      <c r="C72" s="3">
        <v>45929</v>
      </c>
      <c r="D72" s="2">
        <v>0.72</v>
      </c>
      <c r="E72" s="2">
        <v>0.08</v>
      </c>
      <c r="F72" s="2">
        <v>0.2</v>
      </c>
      <c r="G72">
        <v>1.7948717948952204E-2</v>
      </c>
      <c r="H72" s="2">
        <v>9.4663914096606693E-3</v>
      </c>
      <c r="I72" s="2">
        <v>9.4664503100376791E-3</v>
      </c>
      <c r="J72" s="2">
        <v>9.4635285442143929E-3</v>
      </c>
      <c r="K72">
        <v>9.4656258249425362E-3</v>
      </c>
      <c r="L72">
        <v>9.4716685301563606E-3</v>
      </c>
    </row>
    <row r="73" spans="1:12" x14ac:dyDescent="0.25">
      <c r="B73" s="2" t="s">
        <v>29</v>
      </c>
      <c r="C73" s="3">
        <v>45943</v>
      </c>
      <c r="D73" s="2">
        <v>0.79</v>
      </c>
      <c r="E73" s="2">
        <v>0.04</v>
      </c>
      <c r="F73" s="2">
        <v>0.17</v>
      </c>
      <c r="G73">
        <v>1.4393666786018002E-2</v>
      </c>
      <c r="H73" s="2">
        <v>1.6590435594722053E-2</v>
      </c>
      <c r="I73" s="2">
        <v>1.6588561350466123E-2</v>
      </c>
      <c r="J73" s="2">
        <v>1.6588543251963229E-2</v>
      </c>
      <c r="K73">
        <v>1.658696951583986E-2</v>
      </c>
      <c r="L73">
        <v>1.6588582777410002E-2</v>
      </c>
    </row>
    <row r="74" spans="1:12" x14ac:dyDescent="0.25">
      <c r="A74" t="s">
        <v>30</v>
      </c>
      <c r="B74" s="2" t="s">
        <v>31</v>
      </c>
      <c r="C74" s="3">
        <v>45873</v>
      </c>
      <c r="D74" s="2">
        <v>0.44</v>
      </c>
      <c r="E74" s="2">
        <v>0.36</v>
      </c>
      <c r="F74" s="2">
        <v>0.2</v>
      </c>
      <c r="G74">
        <v>2.3403903406871786E-2</v>
      </c>
      <c r="H74" s="2">
        <v>1.7355035605289962E-2</v>
      </c>
      <c r="I74" s="2">
        <v>1.7353986548052067E-2</v>
      </c>
      <c r="J74" s="2">
        <v>1.7354081101405697E-2</v>
      </c>
      <c r="K74">
        <v>1.7353661546640368E-2</v>
      </c>
      <c r="L74">
        <v>1.7355644957534177E-2</v>
      </c>
    </row>
    <row r="75" spans="1:12" x14ac:dyDescent="0.25">
      <c r="B75" s="2" t="s">
        <v>31</v>
      </c>
      <c r="C75" s="3">
        <v>45887</v>
      </c>
      <c r="D75" s="2">
        <v>0.49</v>
      </c>
      <c r="E75" s="2">
        <v>0.27</v>
      </c>
      <c r="F75" s="2">
        <v>0.24</v>
      </c>
      <c r="G75">
        <v>4.137373737246678E-2</v>
      </c>
      <c r="H75" s="2">
        <v>5.2230199521362056E-2</v>
      </c>
      <c r="I75" s="2">
        <v>6.4615153214007362E-2</v>
      </c>
      <c r="J75" s="2">
        <v>1.7541365781543212E-2</v>
      </c>
      <c r="K75">
        <v>5.2236716869156354E-2</v>
      </c>
      <c r="L75">
        <v>5.2057463798571034E-2</v>
      </c>
    </row>
    <row r="76" spans="1:12" x14ac:dyDescent="0.25">
      <c r="B76" s="2" t="s">
        <v>31</v>
      </c>
      <c r="C76" s="3">
        <v>45901</v>
      </c>
      <c r="D76" s="2">
        <v>0.56999999999999995</v>
      </c>
      <c r="E76" s="2">
        <v>0.19</v>
      </c>
      <c r="F76" s="2">
        <v>0.24</v>
      </c>
      <c r="G76">
        <v>-1.722666252794126E-2</v>
      </c>
      <c r="H76" s="2">
        <v>-1.8062137300119099E-2</v>
      </c>
      <c r="I76" s="2">
        <v>-1.8064822723273623E-2</v>
      </c>
      <c r="J76" s="2">
        <v>-1.8049230253415659E-2</v>
      </c>
      <c r="K76">
        <v>-1.8073143911177422E-2</v>
      </c>
      <c r="L76">
        <v>-1.8067585480561442E-2</v>
      </c>
    </row>
    <row r="77" spans="1:12" x14ac:dyDescent="0.25">
      <c r="B77" s="2" t="s">
        <v>31</v>
      </c>
      <c r="C77" s="3">
        <v>45915</v>
      </c>
      <c r="D77" s="2">
        <v>0.59</v>
      </c>
      <c r="E77" s="2">
        <v>0.21</v>
      </c>
      <c r="F77" s="2">
        <v>0.2</v>
      </c>
      <c r="G77">
        <v>-3.7347019343347415E-2</v>
      </c>
      <c r="H77" s="2">
        <v>-5.5196041111534019E-2</v>
      </c>
      <c r="I77" s="2">
        <v>-5.5191492701302754E-2</v>
      </c>
      <c r="J77" s="2">
        <v>-5.5199886185801662E-2</v>
      </c>
      <c r="K77">
        <v>-5.519932084605244E-2</v>
      </c>
      <c r="L77">
        <v>-5.5200088763961951E-2</v>
      </c>
    </row>
    <row r="78" spans="1:12" x14ac:dyDescent="0.25">
      <c r="B78" s="2" t="s">
        <v>31</v>
      </c>
      <c r="C78" s="3">
        <v>45929</v>
      </c>
      <c r="D78" s="2">
        <v>0.56999999999999995</v>
      </c>
      <c r="E78" s="2">
        <v>0.21</v>
      </c>
      <c r="F78" s="2">
        <v>0.22</v>
      </c>
      <c r="G78">
        <v>-1.6978346458051952E-2</v>
      </c>
      <c r="H78" s="2">
        <v>4.664089922014703E-3</v>
      </c>
      <c r="I78" s="2">
        <v>4.6585678191949243E-3</v>
      </c>
      <c r="J78" s="2">
        <v>4.6679716910103444E-3</v>
      </c>
      <c r="K78">
        <v>4.6647676219244037E-3</v>
      </c>
      <c r="L78">
        <v>4.6583547004365716E-3</v>
      </c>
    </row>
    <row r="79" spans="1:12" x14ac:dyDescent="0.25">
      <c r="B79" s="2" t="s">
        <v>31</v>
      </c>
      <c r="C79" s="3">
        <v>45943</v>
      </c>
      <c r="D79" s="2">
        <v>0.47</v>
      </c>
      <c r="E79" s="2">
        <v>0.28000000000000003</v>
      </c>
      <c r="F79" s="2">
        <v>0.25</v>
      </c>
      <c r="G79">
        <v>3.6712557359091479E-3</v>
      </c>
      <c r="H79" s="2">
        <v>-3.6432596298284696E-3</v>
      </c>
      <c r="I79" s="2">
        <v>-3.6448070112582013E-3</v>
      </c>
      <c r="J79" s="2">
        <v>-3.6570743405275746E-3</v>
      </c>
      <c r="K79">
        <v>-3.6345645182774629E-3</v>
      </c>
      <c r="L79">
        <v>-3.6431646827329461E-3</v>
      </c>
    </row>
    <row r="80" spans="1:12" x14ac:dyDescent="0.25">
      <c r="A80" t="s">
        <v>32</v>
      </c>
      <c r="B80" s="2" t="s">
        <v>33</v>
      </c>
      <c r="C80" s="3">
        <v>45873</v>
      </c>
      <c r="D80" s="2">
        <v>0.59</v>
      </c>
      <c r="E80" s="2">
        <v>0.11</v>
      </c>
      <c r="F80" s="2">
        <v>0.3</v>
      </c>
      <c r="G80">
        <v>9.6506399170135204E-2</v>
      </c>
      <c r="H80" s="2">
        <v>8.1738164851621192E-2</v>
      </c>
      <c r="I80" s="2">
        <v>8.1739073397905426E-2</v>
      </c>
      <c r="J80" s="2">
        <v>8.1720158900308926E-2</v>
      </c>
      <c r="K80">
        <v>8.1740197913079835E-2</v>
      </c>
      <c r="L80">
        <v>8.1735588473961396E-2</v>
      </c>
    </row>
    <row r="81" spans="1:12" x14ac:dyDescent="0.25">
      <c r="B81" s="2" t="s">
        <v>33</v>
      </c>
      <c r="C81" s="3">
        <v>45887</v>
      </c>
      <c r="D81" s="2">
        <v>0.62</v>
      </c>
      <c r="E81" s="2">
        <v>0.1</v>
      </c>
      <c r="F81" s="2">
        <v>0.28000000000000003</v>
      </c>
      <c r="G81">
        <v>-1.671924290143131E-2</v>
      </c>
      <c r="H81" s="2">
        <v>1.2219297543426901E-2</v>
      </c>
      <c r="I81" s="2">
        <v>-5.1429495406817398E-2</v>
      </c>
      <c r="J81" s="2">
        <v>1.0492567764500283E-3</v>
      </c>
      <c r="K81">
        <v>1.2206429826868054E-2</v>
      </c>
      <c r="L81">
        <v>2.9697290618656679E-2</v>
      </c>
    </row>
    <row r="82" spans="1:12" x14ac:dyDescent="0.25">
      <c r="B82" s="2" t="s">
        <v>33</v>
      </c>
      <c r="C82" s="3">
        <v>45901</v>
      </c>
      <c r="D82" s="2">
        <v>0.62</v>
      </c>
      <c r="E82" s="2">
        <v>0.09</v>
      </c>
      <c r="F82" s="2">
        <v>0.28999999999999998</v>
      </c>
      <c r="G82">
        <v>-5.0689765800831045E-2</v>
      </c>
      <c r="H82" s="2">
        <v>-5.4004391432984196E-2</v>
      </c>
      <c r="I82" s="2">
        <v>-5.4004815580320033E-2</v>
      </c>
      <c r="J82" s="2">
        <v>-5.3980085017178131E-2</v>
      </c>
      <c r="K82">
        <v>-5.3993081666416094E-2</v>
      </c>
      <c r="L82">
        <v>-5.3996143132633401E-2</v>
      </c>
    </row>
    <row r="83" spans="1:12" x14ac:dyDescent="0.25">
      <c r="B83" s="2" t="s">
        <v>33</v>
      </c>
      <c r="C83" s="3">
        <v>45915</v>
      </c>
      <c r="D83" s="2">
        <v>0.6</v>
      </c>
      <c r="E83" s="2">
        <v>0.11</v>
      </c>
      <c r="F83" s="2">
        <v>0.28999999999999998</v>
      </c>
      <c r="G83">
        <v>2.7712064887294604E-2</v>
      </c>
      <c r="H83" s="2">
        <v>-3.5592928622359944E-2</v>
      </c>
      <c r="I83" s="2">
        <v>-3.5594022051287894E-2</v>
      </c>
      <c r="J83" s="2">
        <v>-3.5577988427920766E-2</v>
      </c>
      <c r="K83">
        <v>-3.5597629715276739E-2</v>
      </c>
      <c r="L83">
        <v>-3.5590788976972383E-2</v>
      </c>
    </row>
    <row r="84" spans="1:12" x14ac:dyDescent="0.25">
      <c r="B84" s="2" t="s">
        <v>33</v>
      </c>
      <c r="C84" s="3">
        <v>45929</v>
      </c>
      <c r="D84" s="2">
        <v>0.68</v>
      </c>
      <c r="E84" s="2">
        <v>0.1</v>
      </c>
      <c r="F84" s="2">
        <v>0.22</v>
      </c>
      <c r="G84">
        <v>-3.9789542913305859E-2</v>
      </c>
      <c r="H84" s="2">
        <v>3.3423925513851427E-2</v>
      </c>
      <c r="I84" s="2">
        <v>3.3427728958047562E-2</v>
      </c>
      <c r="J84" s="2">
        <v>3.3380137860607617E-2</v>
      </c>
      <c r="K84">
        <v>3.3419755121614922E-2</v>
      </c>
      <c r="L84">
        <v>3.3412663618713603E-2</v>
      </c>
    </row>
    <row r="85" spans="1:12" x14ac:dyDescent="0.25">
      <c r="B85" s="2" t="s">
        <v>33</v>
      </c>
      <c r="C85" s="3">
        <v>45943</v>
      </c>
      <c r="D85" s="2">
        <v>0.56000000000000005</v>
      </c>
      <c r="E85" s="2">
        <v>0.12</v>
      </c>
      <c r="F85" s="2">
        <v>0.32</v>
      </c>
      <c r="G85">
        <v>2.2945205478447899E-2</v>
      </c>
      <c r="H85" s="2">
        <v>6.404436725349307E-3</v>
      </c>
      <c r="I85" s="2">
        <v>6.4014916096953971E-3</v>
      </c>
      <c r="J85" s="2">
        <v>6.4233215984188527E-3</v>
      </c>
      <c r="K85">
        <v>6.4097916092637468E-3</v>
      </c>
      <c r="L85">
        <v>6.4088967000999978E-3</v>
      </c>
    </row>
    <row r="86" spans="1:12" x14ac:dyDescent="0.25">
      <c r="A86" t="s">
        <v>34</v>
      </c>
      <c r="B86" s="2" t="s">
        <v>35</v>
      </c>
      <c r="C86" s="3">
        <v>45873</v>
      </c>
      <c r="D86" s="2">
        <v>0.65</v>
      </c>
      <c r="E86" s="2">
        <v>7.0000000000000007E-2</v>
      </c>
      <c r="F86" s="2">
        <v>0.28000000000000003</v>
      </c>
      <c r="G86">
        <v>0</v>
      </c>
      <c r="H86" s="2">
        <v>0</v>
      </c>
      <c r="I86" s="2">
        <v>0</v>
      </c>
      <c r="J86" s="2">
        <v>0</v>
      </c>
      <c r="K86">
        <v>0</v>
      </c>
      <c r="L86">
        <v>0</v>
      </c>
    </row>
    <row r="87" spans="1:12" x14ac:dyDescent="0.25">
      <c r="B87" s="2" t="s">
        <v>35</v>
      </c>
      <c r="C87" s="3">
        <v>45887</v>
      </c>
      <c r="D87" s="2">
        <v>0.61</v>
      </c>
      <c r="E87" s="2">
        <v>0.06</v>
      </c>
      <c r="F87" s="2">
        <v>0.33</v>
      </c>
      <c r="G87">
        <v>-3.3902625541469611E-2</v>
      </c>
      <c r="H87" s="2">
        <v>-2.3900498451184964E-3</v>
      </c>
      <c r="I87" s="2">
        <v>-2.3911161965116407E-3</v>
      </c>
      <c r="J87" s="2">
        <v>-2.3929667585704303E-3</v>
      </c>
      <c r="K87">
        <v>-2.4031921646867154E-3</v>
      </c>
      <c r="L87">
        <v>-2.4036397974076191E-3</v>
      </c>
    </row>
    <row r="88" spans="1:12" x14ac:dyDescent="0.25">
      <c r="B88" s="2" t="s">
        <v>35</v>
      </c>
      <c r="C88" s="3">
        <v>45901</v>
      </c>
      <c r="D88" s="2">
        <v>0.71</v>
      </c>
      <c r="E88" s="2">
        <v>7.0000000000000007E-2</v>
      </c>
      <c r="F88" s="2">
        <v>0.22</v>
      </c>
      <c r="G88">
        <v>7.6517150383112213E-3</v>
      </c>
      <c r="H88" s="2">
        <v>7.7389865237607602E-3</v>
      </c>
      <c r="I88" s="2">
        <v>2.5115430991383088E-2</v>
      </c>
      <c r="J88" s="2">
        <v>-2.5655733430672113E-2</v>
      </c>
      <c r="K88">
        <v>7.7723739830008248E-3</v>
      </c>
      <c r="L88">
        <v>4.6639703984166621E-2</v>
      </c>
    </row>
    <row r="89" spans="1:12" x14ac:dyDescent="0.25">
      <c r="B89" s="2" t="s">
        <v>35</v>
      </c>
      <c r="C89" s="3">
        <v>45915</v>
      </c>
      <c r="D89" s="2">
        <v>0.54</v>
      </c>
      <c r="E89" s="2">
        <v>0.18</v>
      </c>
      <c r="F89" s="2">
        <v>0.28000000000000003</v>
      </c>
      <c r="G89">
        <v>4.1895784239371296E-3</v>
      </c>
      <c r="H89" s="2">
        <v>2.6479604604604572E-2</v>
      </c>
      <c r="I89" s="2">
        <v>2.648678888028223E-2</v>
      </c>
      <c r="J89" s="2">
        <v>2.6491838373026426E-2</v>
      </c>
      <c r="K89">
        <v>2.6474833122857647E-2</v>
      </c>
      <c r="L89">
        <v>2.6473731809586457E-2</v>
      </c>
    </row>
    <row r="90" spans="1:12" x14ac:dyDescent="0.25">
      <c r="B90" s="2" t="s">
        <v>35</v>
      </c>
      <c r="C90" s="3">
        <v>45929</v>
      </c>
      <c r="D90" s="2">
        <v>0.74</v>
      </c>
      <c r="E90" s="2">
        <v>0.02</v>
      </c>
      <c r="F90" s="2">
        <v>0.24</v>
      </c>
      <c r="G90">
        <v>4.1720990873546936E-2</v>
      </c>
      <c r="H90" s="2">
        <v>2.6055554709046348E-2</v>
      </c>
      <c r="I90" s="2">
        <v>2.6054876642840768E-2</v>
      </c>
      <c r="J90" s="2">
        <v>2.6016684045881155E-2</v>
      </c>
      <c r="K90">
        <v>2.6055626345621471E-2</v>
      </c>
      <c r="L90">
        <v>2.6071285542651246E-2</v>
      </c>
    </row>
    <row r="91" spans="1:12" x14ac:dyDescent="0.25">
      <c r="B91" s="4" t="s">
        <v>36</v>
      </c>
      <c r="C91" s="3">
        <v>45943</v>
      </c>
      <c r="D91" s="2">
        <v>0.61</v>
      </c>
      <c r="E91" s="2">
        <v>0.13</v>
      </c>
      <c r="F91" s="2">
        <v>0.26</v>
      </c>
      <c r="G91">
        <v>6.3829787235007471E-2</v>
      </c>
      <c r="H91" s="2">
        <v>0</v>
      </c>
      <c r="I91" s="2">
        <v>0</v>
      </c>
      <c r="J91" s="2">
        <v>0</v>
      </c>
      <c r="K91">
        <v>0</v>
      </c>
      <c r="L91">
        <v>0</v>
      </c>
    </row>
    <row r="92" spans="1:12" x14ac:dyDescent="0.25">
      <c r="A92" t="s">
        <v>37</v>
      </c>
      <c r="B92" s="2" t="s">
        <v>38</v>
      </c>
      <c r="C92" s="3">
        <v>45873</v>
      </c>
      <c r="D92" s="2">
        <v>0.57999999999999996</v>
      </c>
      <c r="E92" s="2">
        <v>0.19</v>
      </c>
      <c r="F92" s="2">
        <v>0.23</v>
      </c>
      <c r="G92">
        <v>3.3174327841451218E-2</v>
      </c>
      <c r="H92" s="2">
        <v>4.1406338036986408E-2</v>
      </c>
      <c r="I92" s="2">
        <v>4.1401812060471374E-2</v>
      </c>
      <c r="J92" s="2">
        <v>4.1378941170172857E-2</v>
      </c>
      <c r="K92">
        <v>4.1356979910221525E-2</v>
      </c>
      <c r="L92">
        <v>4.1424143926222665E-2</v>
      </c>
    </row>
    <row r="93" spans="1:12" x14ac:dyDescent="0.25">
      <c r="B93" s="2" t="s">
        <v>38</v>
      </c>
      <c r="C93" s="3">
        <v>45887</v>
      </c>
      <c r="D93" s="2">
        <v>0.61</v>
      </c>
      <c r="E93" s="2">
        <v>0.16</v>
      </c>
      <c r="F93" s="2">
        <v>0.23</v>
      </c>
      <c r="G93">
        <v>-0.13095487932886424</v>
      </c>
      <c r="H93" s="2">
        <v>-0.10860365017914239</v>
      </c>
      <c r="I93" s="2">
        <v>-8.2432533639563627E-2</v>
      </c>
      <c r="J93" s="2">
        <v>-1.2593811041431051E-2</v>
      </c>
      <c r="K93">
        <v>-0.10861423220973779</v>
      </c>
      <c r="L93">
        <v>-7.2294403716338759E-2</v>
      </c>
    </row>
    <row r="94" spans="1:12" x14ac:dyDescent="0.25">
      <c r="B94" s="2" t="s">
        <v>38</v>
      </c>
      <c r="C94" s="3">
        <v>45901</v>
      </c>
      <c r="D94" s="2">
        <v>0.7</v>
      </c>
      <c r="E94" s="2">
        <v>0.12</v>
      </c>
      <c r="F94" s="2">
        <v>0.18</v>
      </c>
      <c r="G94">
        <v>-1.1349915478179521E-2</v>
      </c>
      <c r="H94" s="2">
        <v>-3.6390121525201984E-2</v>
      </c>
      <c r="I94" s="2">
        <v>-3.6389606856210052E-2</v>
      </c>
      <c r="J94" s="2">
        <v>-3.6389192565984732E-2</v>
      </c>
      <c r="K94">
        <v>-3.6388140161725105E-2</v>
      </c>
      <c r="L94">
        <v>-3.6382129723808769E-2</v>
      </c>
    </row>
    <row r="95" spans="1:12" x14ac:dyDescent="0.25">
      <c r="B95" s="2" t="s">
        <v>38</v>
      </c>
      <c r="C95" s="3">
        <v>45915</v>
      </c>
      <c r="D95" s="2">
        <v>0.68</v>
      </c>
      <c r="E95" s="2">
        <v>0.12</v>
      </c>
      <c r="F95" s="2">
        <v>0.2</v>
      </c>
      <c r="G95">
        <v>-2.4425989252515847E-2</v>
      </c>
      <c r="H95" s="2">
        <v>-2.9226096328541645E-2</v>
      </c>
      <c r="I95" s="2">
        <v>-2.9222841815486674E-2</v>
      </c>
      <c r="J95" s="2">
        <v>-2.9227444624527303E-2</v>
      </c>
      <c r="K95">
        <v>-2.9206088029617511E-2</v>
      </c>
      <c r="L95">
        <v>-2.9230269568041596E-2</v>
      </c>
    </row>
    <row r="96" spans="1:12" x14ac:dyDescent="0.25">
      <c r="B96" s="2" t="s">
        <v>38</v>
      </c>
      <c r="C96" s="3">
        <v>45929</v>
      </c>
      <c r="D96" s="2">
        <v>0.66</v>
      </c>
      <c r="E96" s="2">
        <v>0.13</v>
      </c>
      <c r="F96" s="2">
        <v>0.21</v>
      </c>
      <c r="G96">
        <v>1.2769153726502162E-2</v>
      </c>
      <c r="H96" s="2">
        <v>1.4058106841612017E-2</v>
      </c>
      <c r="I96" s="2">
        <v>1.4047844106740285E-2</v>
      </c>
      <c r="J96" s="2">
        <v>1.4024152707440654E-2</v>
      </c>
      <c r="K96">
        <v>1.4067796610169636E-2</v>
      </c>
      <c r="L96">
        <v>1.4051522248243497E-2</v>
      </c>
    </row>
    <row r="97" spans="1:12" x14ac:dyDescent="0.25">
      <c r="B97" s="2" t="s">
        <v>38</v>
      </c>
      <c r="C97" s="3">
        <v>45943</v>
      </c>
      <c r="D97" s="2">
        <v>0.6</v>
      </c>
      <c r="E97" s="2">
        <v>0.18</v>
      </c>
      <c r="F97" s="2">
        <v>0.22</v>
      </c>
      <c r="G97">
        <v>1.2360939473349494E-3</v>
      </c>
      <c r="H97" s="2">
        <v>2.2181146025878084E-3</v>
      </c>
      <c r="I97" s="2">
        <v>2.2228277236810445E-3</v>
      </c>
      <c r="J97" s="2">
        <v>2.2501509247571444E-3</v>
      </c>
      <c r="K97">
        <v>2.2563931138224339E-3</v>
      </c>
      <c r="L97">
        <v>2.2269877928077753E-3</v>
      </c>
    </row>
    <row r="98" spans="1:12" x14ac:dyDescent="0.25">
      <c r="A98" t="s">
        <v>39</v>
      </c>
      <c r="B98" s="2" t="s">
        <v>40</v>
      </c>
      <c r="C98" s="3">
        <v>45873</v>
      </c>
      <c r="D98" s="2">
        <v>0.86</v>
      </c>
      <c r="E98" s="2">
        <v>0.03</v>
      </c>
      <c r="F98" s="2">
        <v>0.11</v>
      </c>
      <c r="G98">
        <v>0.34849863512233031</v>
      </c>
      <c r="H98" s="2">
        <v>0.35939465004977261</v>
      </c>
      <c r="I98" s="2">
        <v>0.24036058715732173</v>
      </c>
      <c r="J98" s="2">
        <v>0.29478023189172509</v>
      </c>
      <c r="K98">
        <v>0.35942002044799681</v>
      </c>
      <c r="L98">
        <v>0.2571258317608503</v>
      </c>
    </row>
    <row r="99" spans="1:12" x14ac:dyDescent="0.25">
      <c r="B99" s="2" t="s">
        <v>40</v>
      </c>
      <c r="C99" s="3">
        <v>45887</v>
      </c>
      <c r="D99" s="2">
        <v>0.86</v>
      </c>
      <c r="E99" s="2">
        <v>0.05</v>
      </c>
      <c r="F99" s="2">
        <v>0.09</v>
      </c>
      <c r="G99">
        <v>0.25101214574958852</v>
      </c>
      <c r="H99" s="2">
        <v>0.19995621967300273</v>
      </c>
      <c r="I99" s="2">
        <v>0.19995522922636108</v>
      </c>
      <c r="J99" s="2">
        <v>0.19995233150036604</v>
      </c>
      <c r="K99">
        <v>0.19991795432790921</v>
      </c>
      <c r="L99">
        <v>0.19995259914678454</v>
      </c>
    </row>
    <row r="100" spans="1:12" x14ac:dyDescent="0.25">
      <c r="B100" s="2" t="s">
        <v>40</v>
      </c>
      <c r="C100" s="3">
        <v>45901</v>
      </c>
      <c r="D100" s="2">
        <v>0.83</v>
      </c>
      <c r="E100" s="2">
        <v>0.06</v>
      </c>
      <c r="F100" s="2">
        <v>0.11</v>
      </c>
      <c r="G100">
        <v>7.6950737144471815E-2</v>
      </c>
      <c r="H100" s="2">
        <v>0</v>
      </c>
      <c r="I100" s="2">
        <v>0</v>
      </c>
      <c r="J100" s="2">
        <v>0</v>
      </c>
      <c r="K100">
        <v>0</v>
      </c>
      <c r="L100">
        <v>0</v>
      </c>
    </row>
    <row r="101" spans="1:12" x14ac:dyDescent="0.25">
      <c r="B101" s="2" t="s">
        <v>40</v>
      </c>
      <c r="C101" s="3">
        <v>45915</v>
      </c>
      <c r="D101" s="2">
        <v>0.82</v>
      </c>
      <c r="E101" s="2">
        <v>0.06</v>
      </c>
      <c r="F101" s="2">
        <v>0.12</v>
      </c>
      <c r="G101">
        <v>0.1114472499336073</v>
      </c>
      <c r="H101" s="2">
        <v>0.20501276972792665</v>
      </c>
      <c r="I101" s="2">
        <v>0.20501302131914556</v>
      </c>
      <c r="J101" s="2">
        <v>0.20508200442653651</v>
      </c>
      <c r="K101">
        <v>0.20501424501424498</v>
      </c>
      <c r="L101">
        <v>0.20501678846533686</v>
      </c>
    </row>
    <row r="102" spans="1:12" x14ac:dyDescent="0.25">
      <c r="B102" s="2" t="s">
        <v>40</v>
      </c>
      <c r="C102" s="3">
        <v>45929</v>
      </c>
      <c r="D102" s="2">
        <v>0.78</v>
      </c>
      <c r="E102" s="2">
        <v>0.02</v>
      </c>
      <c r="F102" s="2">
        <v>0.2</v>
      </c>
      <c r="G102">
        <v>-4.6560446105558179E-2</v>
      </c>
      <c r="H102" s="2">
        <v>2.3739107710884624E-2</v>
      </c>
      <c r="I102" s="2">
        <v>2.3740079057910327E-2</v>
      </c>
      <c r="J102" s="2">
        <v>2.3734680182248332E-2</v>
      </c>
      <c r="K102">
        <v>2.3737469264233143E-2</v>
      </c>
      <c r="L102">
        <v>2.3766595640058938E-2</v>
      </c>
    </row>
    <row r="103" spans="1:12" x14ac:dyDescent="0.25">
      <c r="B103" s="2" t="s">
        <v>40</v>
      </c>
      <c r="C103" s="3">
        <v>45943</v>
      </c>
      <c r="D103" s="2">
        <v>0.77</v>
      </c>
      <c r="E103" s="2">
        <v>0.05</v>
      </c>
      <c r="F103" s="2">
        <v>0.18</v>
      </c>
      <c r="G103">
        <v>5.9388783868635955E-2</v>
      </c>
      <c r="H103" s="2">
        <v>1.2648823932243829E-2</v>
      </c>
      <c r="I103" s="2">
        <v>1.2648299445918698E-2</v>
      </c>
      <c r="J103" s="2">
        <v>1.265022137887427E-2</v>
      </c>
      <c r="K103">
        <v>1.2655889145496578E-2</v>
      </c>
      <c r="L103">
        <v>1.2648094780659652E-2</v>
      </c>
    </row>
    <row r="104" spans="1:12" x14ac:dyDescent="0.25">
      <c r="A104" t="s">
        <v>41</v>
      </c>
      <c r="B104" s="2" t="s">
        <v>42</v>
      </c>
      <c r="C104" s="3">
        <v>45873</v>
      </c>
      <c r="D104" s="2">
        <v>0.6</v>
      </c>
      <c r="E104" s="2">
        <v>0.12</v>
      </c>
      <c r="F104" s="2">
        <v>0.28000000000000003</v>
      </c>
      <c r="G104">
        <v>3.8842345774851843E-2</v>
      </c>
      <c r="H104" s="2">
        <v>5.1858624201462845E-2</v>
      </c>
      <c r="I104" s="2">
        <v>-4.4962357096384881E-3</v>
      </c>
      <c r="J104" s="2">
        <v>5.1952461799660565E-2</v>
      </c>
      <c r="K104">
        <v>5.1827271536479952E-2</v>
      </c>
      <c r="L104">
        <v>4.1449415063751383E-2</v>
      </c>
    </row>
    <row r="105" spans="1:12" x14ac:dyDescent="0.25">
      <c r="B105" s="2" t="s">
        <v>42</v>
      </c>
      <c r="C105" s="3">
        <v>45887</v>
      </c>
      <c r="D105" s="2">
        <v>0.68</v>
      </c>
      <c r="E105" s="2">
        <v>0.13</v>
      </c>
      <c r="F105" s="2">
        <v>0.19</v>
      </c>
      <c r="G105">
        <v>-3.5031030915106042E-3</v>
      </c>
      <c r="H105" s="2">
        <v>1.0551331844337437E-2</v>
      </c>
      <c r="I105" s="2">
        <v>1.0538600688568496E-2</v>
      </c>
      <c r="J105" s="2">
        <v>-6.4557779212405899E-4</v>
      </c>
      <c r="K105">
        <v>1.0543794105438072E-2</v>
      </c>
      <c r="L105">
        <v>1.0517901468299007E-2</v>
      </c>
    </row>
    <row r="106" spans="1:12" x14ac:dyDescent="0.25">
      <c r="B106" s="2" t="s">
        <v>42</v>
      </c>
      <c r="C106" s="3">
        <v>45901</v>
      </c>
      <c r="D106" s="2">
        <v>0.44</v>
      </c>
      <c r="E106" s="2">
        <v>0.25</v>
      </c>
      <c r="F106" s="2">
        <v>0.31</v>
      </c>
      <c r="G106">
        <v>-4.4477390680125609E-3</v>
      </c>
      <c r="H106" s="2">
        <v>-2.2101733298491937E-3</v>
      </c>
      <c r="I106" s="2">
        <v>-2.2058483854575572E-3</v>
      </c>
      <c r="J106" s="2">
        <v>-2.2609819121446333E-3</v>
      </c>
      <c r="K106">
        <v>-2.177127834374007E-3</v>
      </c>
      <c r="L106">
        <v>-2.2065864523918908E-3</v>
      </c>
    </row>
    <row r="107" spans="1:12" x14ac:dyDescent="0.25">
      <c r="B107" s="2" t="s">
        <v>42</v>
      </c>
      <c r="C107" s="3">
        <v>45915</v>
      </c>
      <c r="D107" s="2">
        <v>0.56000000000000005</v>
      </c>
      <c r="E107" s="2">
        <v>0.24</v>
      </c>
      <c r="F107" s="2">
        <v>0.2</v>
      </c>
      <c r="G107">
        <v>-0.10201042442227194</v>
      </c>
      <c r="H107" s="2">
        <v>-9.9263462272900962E-2</v>
      </c>
      <c r="I107" s="2">
        <v>-9.9262705880991203E-2</v>
      </c>
      <c r="J107" s="2">
        <v>-9.9223049530592453E-2</v>
      </c>
      <c r="K107">
        <v>-9.925486805812847E-2</v>
      </c>
      <c r="L107">
        <v>-9.9265626303930488E-2</v>
      </c>
    </row>
    <row r="108" spans="1:12" x14ac:dyDescent="0.25">
      <c r="B108" s="2" t="s">
        <v>42</v>
      </c>
      <c r="C108" s="3">
        <v>45929</v>
      </c>
      <c r="D108" s="2">
        <v>0.66</v>
      </c>
      <c r="E108" s="2">
        <v>0.13</v>
      </c>
      <c r="F108" s="2">
        <v>0.21</v>
      </c>
      <c r="G108">
        <v>6.6485542451064417E-2</v>
      </c>
      <c r="H108" s="2">
        <v>-6.2872510539322378E-3</v>
      </c>
      <c r="I108" s="2">
        <v>-6.2836509425476059E-3</v>
      </c>
      <c r="J108" s="2">
        <v>-2.1922731356693599E-2</v>
      </c>
      <c r="K108">
        <v>-6.3071297989032247E-3</v>
      </c>
      <c r="L108">
        <v>-6.2537638393477864E-3</v>
      </c>
    </row>
    <row r="109" spans="1:12" x14ac:dyDescent="0.25">
      <c r="B109" s="2" t="s">
        <v>42</v>
      </c>
      <c r="C109" s="3">
        <v>45943</v>
      </c>
      <c r="D109" s="2">
        <v>0.65</v>
      </c>
      <c r="E109" s="2">
        <v>0.1</v>
      </c>
      <c r="F109" s="2">
        <v>0.25</v>
      </c>
      <c r="G109">
        <v>8.1857265287224243E-2</v>
      </c>
      <c r="H109" s="2">
        <v>0.14308354362481565</v>
      </c>
      <c r="I109" s="2">
        <v>0.14307143226607363</v>
      </c>
      <c r="J109" s="2">
        <v>0.11574499356972248</v>
      </c>
      <c r="K109">
        <v>0.14308711250114992</v>
      </c>
      <c r="L109">
        <v>0.14306358381502898</v>
      </c>
    </row>
    <row r="110" spans="1:12" x14ac:dyDescent="0.25">
      <c r="A110" t="s">
        <v>43</v>
      </c>
      <c r="B110" s="2" t="s">
        <v>44</v>
      </c>
      <c r="C110" s="3">
        <v>45873</v>
      </c>
      <c r="D110" s="2">
        <v>0.7</v>
      </c>
      <c r="E110" s="2">
        <v>0.1</v>
      </c>
      <c r="F110" s="2">
        <v>0.2</v>
      </c>
      <c r="G110">
        <v>-4.325259515340947E-2</v>
      </c>
      <c r="H110" s="2">
        <v>-4.0209922795734855E-2</v>
      </c>
      <c r="I110" s="2">
        <v>-4.0210441368179292E-2</v>
      </c>
      <c r="J110" s="2">
        <v>-4.0225352112676006E-2</v>
      </c>
      <c r="K110">
        <v>-4.022634536915845E-2</v>
      </c>
      <c r="L110">
        <v>-4.0211226285937887E-2</v>
      </c>
    </row>
    <row r="111" spans="1:12" x14ac:dyDescent="0.25">
      <c r="B111" s="2" t="s">
        <v>44</v>
      </c>
      <c r="C111" s="3">
        <v>45887</v>
      </c>
      <c r="D111" s="2">
        <v>0.45</v>
      </c>
      <c r="E111" s="2">
        <v>0.28000000000000003</v>
      </c>
      <c r="F111" s="2">
        <v>0.27</v>
      </c>
      <c r="G111">
        <v>-3.0741410491070327E-2</v>
      </c>
      <c r="H111" s="2">
        <v>-1.3654034577578345E-2</v>
      </c>
      <c r="I111" s="2">
        <v>-3.6429784137763738E-2</v>
      </c>
      <c r="J111" s="2">
        <v>-4.9776942944353128E-2</v>
      </c>
      <c r="K111">
        <v>-1.3636545943127684E-2</v>
      </c>
      <c r="L111">
        <v>-3.6353262420018725E-2</v>
      </c>
    </row>
    <row r="112" spans="1:12" x14ac:dyDescent="0.25">
      <c r="B112" s="2" t="s">
        <v>44</v>
      </c>
      <c r="C112" s="3">
        <v>45901</v>
      </c>
      <c r="D112" s="2">
        <v>0.55000000000000004</v>
      </c>
      <c r="E112" s="2">
        <v>0.11</v>
      </c>
      <c r="F112" s="2">
        <v>0.34</v>
      </c>
      <c r="G112">
        <v>-2.7985074627425176E-2</v>
      </c>
      <c r="H112" s="2">
        <v>-2.7702118114525491E-2</v>
      </c>
      <c r="I112" s="2">
        <v>-2.7705061082024401E-2</v>
      </c>
      <c r="J112" s="2">
        <v>-2.7674820854954256E-2</v>
      </c>
      <c r="K112">
        <v>-2.7731468303988958E-2</v>
      </c>
      <c r="L112">
        <v>-2.7701416790019077E-2</v>
      </c>
    </row>
    <row r="113" spans="1:12" x14ac:dyDescent="0.25">
      <c r="B113" s="2" t="s">
        <v>44</v>
      </c>
      <c r="C113" s="3">
        <v>45915</v>
      </c>
      <c r="D113" s="2">
        <v>0.7</v>
      </c>
      <c r="E113" s="2">
        <v>0.08</v>
      </c>
      <c r="F113" s="2">
        <v>0.22</v>
      </c>
      <c r="G113">
        <v>-2.6871401148349162E-2</v>
      </c>
      <c r="H113" s="2">
        <v>-3.7043750514954288E-2</v>
      </c>
      <c r="I113" s="2">
        <v>-3.703767625688198E-2</v>
      </c>
      <c r="J113" s="2">
        <v>-3.710292249047014E-2</v>
      </c>
      <c r="K113">
        <v>-3.7012253774413369E-2</v>
      </c>
      <c r="L113">
        <v>-3.7059591126576752E-2</v>
      </c>
    </row>
    <row r="114" spans="1:12" x14ac:dyDescent="0.25">
      <c r="B114" s="2" t="s">
        <v>44</v>
      </c>
      <c r="C114" s="3">
        <v>45929</v>
      </c>
      <c r="D114" s="2">
        <v>0.69</v>
      </c>
      <c r="E114" s="2">
        <v>0.1</v>
      </c>
      <c r="F114" s="2">
        <v>0.21</v>
      </c>
      <c r="G114">
        <v>1.6765285997597509E-2</v>
      </c>
      <c r="H114" s="2">
        <v>-1.9679312764173114E-3</v>
      </c>
      <c r="I114" s="2">
        <v>-1.971502822833609E-3</v>
      </c>
      <c r="J114" s="2">
        <v>-1.97941409342842E-3</v>
      </c>
      <c r="K114">
        <v>-1.997741683314487E-3</v>
      </c>
      <c r="L114">
        <v>-1.9423615502756314E-3</v>
      </c>
    </row>
    <row r="115" spans="1:12" x14ac:dyDescent="0.25">
      <c r="B115" s="2" t="s">
        <v>44</v>
      </c>
      <c r="C115" s="3">
        <v>45943</v>
      </c>
      <c r="D115" s="2">
        <v>0.7</v>
      </c>
      <c r="E115" s="2">
        <v>0.14000000000000001</v>
      </c>
      <c r="F115" s="2">
        <v>0.16</v>
      </c>
      <c r="G115">
        <v>5.8195926280787236E-2</v>
      </c>
      <c r="H115" s="2">
        <v>7.8066595795754493E-2</v>
      </c>
      <c r="I115" s="2">
        <v>7.8064110622250049E-2</v>
      </c>
      <c r="J115" s="2">
        <v>7.8143593811979425E-2</v>
      </c>
      <c r="K115">
        <v>7.806788511749338E-2</v>
      </c>
      <c r="L115">
        <v>7.8026702873953441E-2</v>
      </c>
    </row>
    <row r="116" spans="1:12" x14ac:dyDescent="0.25">
      <c r="A116" t="s">
        <v>45</v>
      </c>
      <c r="B116" s="2" t="s">
        <v>46</v>
      </c>
      <c r="C116" s="3">
        <v>45873</v>
      </c>
      <c r="D116" s="2">
        <v>0.7</v>
      </c>
      <c r="E116" s="2">
        <v>0.14000000000000001</v>
      </c>
      <c r="F116" s="2">
        <v>0.16</v>
      </c>
      <c r="G116">
        <v>-1.7730496452196425E-2</v>
      </c>
      <c r="H116" s="2">
        <v>-1.4190300652040373E-2</v>
      </c>
      <c r="I116" s="2">
        <v>-1.4178763627698349E-2</v>
      </c>
      <c r="J116" s="2">
        <v>-1.4120415767797576E-2</v>
      </c>
      <c r="K116">
        <v>-1.500938086303944E-2</v>
      </c>
      <c r="L116">
        <v>-1.4111006585136417E-2</v>
      </c>
    </row>
    <row r="117" spans="1:12" x14ac:dyDescent="0.25">
      <c r="B117" s="2" t="s">
        <v>46</v>
      </c>
      <c r="C117" s="3">
        <v>45887</v>
      </c>
      <c r="D117" s="2">
        <v>0.73</v>
      </c>
      <c r="E117" s="2">
        <v>0.12</v>
      </c>
      <c r="F117" s="2">
        <v>0.15</v>
      </c>
      <c r="G117">
        <v>3.6101083037694283E-3</v>
      </c>
      <c r="H117" s="2">
        <v>5.4080135099817796E-3</v>
      </c>
      <c r="I117" s="2">
        <v>-1.3012912193058347E-2</v>
      </c>
      <c r="J117" s="2">
        <v>-3.0833499104833923E-2</v>
      </c>
      <c r="K117">
        <v>5.7142857142857464E-3</v>
      </c>
      <c r="L117">
        <v>2.4809160305343428E-2</v>
      </c>
    </row>
    <row r="118" spans="1:12" x14ac:dyDescent="0.25">
      <c r="B118" s="2" t="s">
        <v>46</v>
      </c>
      <c r="C118" s="3">
        <v>45901</v>
      </c>
      <c r="D118" s="2">
        <v>0.75</v>
      </c>
      <c r="E118" s="2">
        <v>0.1</v>
      </c>
      <c r="F118" s="2">
        <v>0.15</v>
      </c>
      <c r="G118">
        <v>1.7985611491611177E-3</v>
      </c>
      <c r="H118" s="2">
        <v>-3.5792841431713709E-3</v>
      </c>
      <c r="I118" s="2">
        <v>-3.571647243708813E-3</v>
      </c>
      <c r="J118" s="2">
        <v>-3.4893267651889054E-3</v>
      </c>
      <c r="K118">
        <v>-3.787878787878765E-3</v>
      </c>
      <c r="L118">
        <v>-3.7243947858472772E-3</v>
      </c>
    </row>
    <row r="119" spans="1:12" x14ac:dyDescent="0.25">
      <c r="B119" s="2" t="s">
        <v>46</v>
      </c>
      <c r="C119" s="3">
        <v>45915</v>
      </c>
      <c r="D119" s="2">
        <v>0.75</v>
      </c>
      <c r="E119" s="2">
        <v>0.16</v>
      </c>
      <c r="F119" s="2">
        <v>0.09</v>
      </c>
      <c r="G119">
        <v>-2.3339317775012747E-2</v>
      </c>
      <c r="H119" s="2">
        <v>-2.5144990066424552E-2</v>
      </c>
      <c r="I119" s="2">
        <v>-2.5132112572201062E-2</v>
      </c>
      <c r="J119" s="2">
        <v>-2.512873326467557E-2</v>
      </c>
      <c r="K119">
        <v>-2.4714828897338451E-2</v>
      </c>
      <c r="L119">
        <v>-2.5233644859813029E-2</v>
      </c>
    </row>
    <row r="120" spans="1:12" x14ac:dyDescent="0.25">
      <c r="B120" s="2" t="s">
        <v>46</v>
      </c>
      <c r="C120" s="3">
        <v>45929</v>
      </c>
      <c r="D120" s="2">
        <v>0.87</v>
      </c>
      <c r="E120" s="2">
        <v>0.04</v>
      </c>
      <c r="F120" s="2">
        <v>0.09</v>
      </c>
      <c r="G120">
        <v>2.3897058824813234E-2</v>
      </c>
      <c r="H120" s="2">
        <v>3.3163160278315333E-2</v>
      </c>
      <c r="I120" s="2">
        <v>3.3154743145288358E-2</v>
      </c>
      <c r="J120" s="2">
        <v>3.3171350095077101E-2</v>
      </c>
      <c r="K120">
        <v>3.3138401559454196E-2</v>
      </c>
      <c r="L120">
        <v>3.35570469798658E-2</v>
      </c>
    </row>
    <row r="121" spans="1:12" x14ac:dyDescent="0.25">
      <c r="B121" s="2" t="s">
        <v>46</v>
      </c>
      <c r="C121" s="3">
        <v>45943</v>
      </c>
      <c r="D121" s="2">
        <v>0.84</v>
      </c>
      <c r="E121" s="2">
        <v>0.1</v>
      </c>
      <c r="F121" s="2">
        <v>0.06</v>
      </c>
      <c r="G121">
        <v>2.5134649909547013E-2</v>
      </c>
      <c r="H121" s="2">
        <v>1.7812668114526982E-2</v>
      </c>
      <c r="I121" s="2">
        <v>1.7814654383503166E-2</v>
      </c>
      <c r="J121" s="2">
        <v>1.7791411042944755E-2</v>
      </c>
      <c r="K121">
        <v>1.7924528301886782E-2</v>
      </c>
      <c r="L121">
        <v>1.7625231910946185E-2</v>
      </c>
    </row>
    <row r="122" spans="1:12" x14ac:dyDescent="0.25">
      <c r="A122" t="s">
        <v>47</v>
      </c>
      <c r="B122" s="2" t="s">
        <v>48</v>
      </c>
      <c r="C122" s="3">
        <v>45873</v>
      </c>
      <c r="D122" s="2">
        <v>0.68</v>
      </c>
      <c r="E122" s="2">
        <v>0.12</v>
      </c>
      <c r="F122" s="2">
        <v>0.2</v>
      </c>
      <c r="G122">
        <v>7.4892241379506591E-2</v>
      </c>
      <c r="H122" s="2">
        <v>7.0076210871071271E-2</v>
      </c>
      <c r="I122" s="2">
        <v>7.0076916615668866E-2</v>
      </c>
      <c r="J122" s="2">
        <v>7.009577864490954E-2</v>
      </c>
      <c r="K122">
        <v>7.0078116155326692E-2</v>
      </c>
      <c r="L122">
        <v>7.0124013528748627E-2</v>
      </c>
    </row>
    <row r="123" spans="1:12" x14ac:dyDescent="0.25">
      <c r="B123" s="2" t="s">
        <v>48</v>
      </c>
      <c r="C123" s="3">
        <v>45887</v>
      </c>
      <c r="D123" s="2">
        <v>0.73</v>
      </c>
      <c r="E123" s="2">
        <v>0.11</v>
      </c>
      <c r="F123" s="2">
        <v>0.16</v>
      </c>
      <c r="G123">
        <v>-7.5187969937741284E-3</v>
      </c>
      <c r="H123" s="2">
        <v>1.5374111220982385E-2</v>
      </c>
      <c r="I123" s="2">
        <v>-8.8587864583917278E-2</v>
      </c>
      <c r="J123" s="2">
        <v>-5.2973546376715565E-2</v>
      </c>
      <c r="K123">
        <v>1.5340668641557297E-2</v>
      </c>
      <c r="L123">
        <v>-3.3712600084282464E-3</v>
      </c>
    </row>
    <row r="124" spans="1:12" x14ac:dyDescent="0.25">
      <c r="B124" s="2" t="s">
        <v>48</v>
      </c>
      <c r="C124" s="3">
        <v>45901</v>
      </c>
      <c r="D124" s="2">
        <v>0.68</v>
      </c>
      <c r="E124" s="2">
        <v>0.12</v>
      </c>
      <c r="F124" s="2">
        <v>0.2</v>
      </c>
      <c r="G124">
        <v>-6.5656565656565524E-2</v>
      </c>
      <c r="H124" s="2">
        <v>-7.4176270086025106E-2</v>
      </c>
      <c r="I124" s="2">
        <v>-7.4178426861227748E-2</v>
      </c>
      <c r="J124" s="2">
        <v>-7.413889666760004E-2</v>
      </c>
      <c r="K124">
        <v>-7.4189850995102682E-2</v>
      </c>
      <c r="L124">
        <v>-7.4207188160676466E-2</v>
      </c>
    </row>
    <row r="125" spans="1:12" x14ac:dyDescent="0.25">
      <c r="B125" s="2" t="s">
        <v>48</v>
      </c>
      <c r="C125" s="3">
        <v>45915</v>
      </c>
      <c r="D125" s="2">
        <v>0.61</v>
      </c>
      <c r="E125" s="2">
        <v>0.12</v>
      </c>
      <c r="F125" s="2">
        <v>0.27</v>
      </c>
      <c r="G125">
        <v>-3.8378378378097558E-2</v>
      </c>
      <c r="H125" s="2">
        <v>-5.6814766579843662E-2</v>
      </c>
      <c r="I125" s="2">
        <v>-5.6798851796725433E-2</v>
      </c>
      <c r="J125" s="2">
        <v>-5.6786389413988614E-2</v>
      </c>
      <c r="K125">
        <v>-5.6837366347777141E-2</v>
      </c>
      <c r="L125">
        <v>-5.6862297328157188E-2</v>
      </c>
    </row>
    <row r="126" spans="1:12" x14ac:dyDescent="0.25">
      <c r="B126" s="2" t="s">
        <v>48</v>
      </c>
      <c r="C126" s="3">
        <v>45929</v>
      </c>
      <c r="D126" s="2">
        <v>0.67</v>
      </c>
      <c r="E126" s="2">
        <v>0.09</v>
      </c>
      <c r="F126" s="2">
        <v>0.24</v>
      </c>
      <c r="G126">
        <v>-1.854974704802197E-2</v>
      </c>
      <c r="H126" s="2">
        <v>-3.9697818611506364E-3</v>
      </c>
      <c r="I126" s="2">
        <v>-3.9873756586920077E-3</v>
      </c>
      <c r="J126" s="2">
        <v>-4.008337341670767E-3</v>
      </c>
      <c r="K126">
        <v>-3.9379474940333765E-3</v>
      </c>
      <c r="L126">
        <v>-3.8740920096852066E-3</v>
      </c>
    </row>
    <row r="127" spans="1:12" x14ac:dyDescent="0.25">
      <c r="B127" s="2" t="s">
        <v>48</v>
      </c>
      <c r="C127" s="3">
        <v>45943</v>
      </c>
      <c r="D127" s="2">
        <v>0.78</v>
      </c>
      <c r="E127" s="2">
        <v>0.06</v>
      </c>
      <c r="F127" s="2">
        <v>0.16</v>
      </c>
      <c r="G127">
        <v>6.5864833904504164E-2</v>
      </c>
      <c r="H127" s="2">
        <v>6.161023727006134E-2</v>
      </c>
      <c r="I127" s="2">
        <v>6.1606145053825841E-2</v>
      </c>
      <c r="J127" s="2">
        <v>6.1574372182871873E-2</v>
      </c>
      <c r="K127">
        <v>6.1579010422906436E-2</v>
      </c>
      <c r="L127">
        <v>6.1497326203208531E-2</v>
      </c>
    </row>
    <row r="128" spans="1:12" x14ac:dyDescent="0.25">
      <c r="A128" t="s">
        <v>49</v>
      </c>
      <c r="B128" s="2" t="s">
        <v>50</v>
      </c>
      <c r="C128" s="3">
        <v>45873</v>
      </c>
      <c r="D128" s="2">
        <v>0.68</v>
      </c>
      <c r="E128" s="2">
        <v>0.2</v>
      </c>
      <c r="F128" s="2">
        <v>0.13</v>
      </c>
      <c r="G128">
        <v>1.2987012987029627E-2</v>
      </c>
      <c r="H128" s="2">
        <v>1.410446183125396E-2</v>
      </c>
      <c r="I128" s="2">
        <v>1.4094402691136572E-2</v>
      </c>
      <c r="J128" s="2">
        <v>1.4140823093426912E-2</v>
      </c>
      <c r="K128">
        <v>1.4148273910582817E-2</v>
      </c>
      <c r="L128">
        <v>1.4048059149722625E-2</v>
      </c>
    </row>
    <row r="129" spans="1:12" x14ac:dyDescent="0.25">
      <c r="B129" s="2" t="s">
        <v>50</v>
      </c>
      <c r="C129" s="3">
        <v>45887</v>
      </c>
      <c r="D129" s="2">
        <v>0.56000000000000005</v>
      </c>
      <c r="E129" s="2">
        <v>0.28000000000000003</v>
      </c>
      <c r="F129" s="2">
        <v>0.16</v>
      </c>
      <c r="G129">
        <v>1.5151515151939837E-2</v>
      </c>
      <c r="H129" s="2">
        <v>1.042600663094018E-2</v>
      </c>
      <c r="I129" s="2">
        <v>4.667128550733779E-2</v>
      </c>
      <c r="J129" s="2">
        <v>-1.3655159149918251E-2</v>
      </c>
      <c r="K129">
        <v>1.041666666666676E-2</v>
      </c>
      <c r="L129">
        <v>2.64309150565076E-2</v>
      </c>
    </row>
    <row r="130" spans="1:12" x14ac:dyDescent="0.25">
      <c r="B130" s="2" t="s">
        <v>50</v>
      </c>
      <c r="C130" s="3">
        <v>45901</v>
      </c>
      <c r="D130" s="2">
        <v>0.68</v>
      </c>
      <c r="E130" s="2">
        <v>0.09</v>
      </c>
      <c r="F130" s="2">
        <v>0.23</v>
      </c>
      <c r="G130">
        <v>6.8886337542542414E-3</v>
      </c>
      <c r="H130" s="2">
        <v>-3.4360360732196126E-3</v>
      </c>
      <c r="I130" s="2">
        <v>-3.4400449311991011E-3</v>
      </c>
      <c r="J130" s="2">
        <v>-3.4123037925319864E-3</v>
      </c>
      <c r="K130">
        <v>-3.4977908689249131E-3</v>
      </c>
      <c r="L130">
        <v>-3.3741786538803277E-3</v>
      </c>
    </row>
    <row r="131" spans="1:12" x14ac:dyDescent="0.25">
      <c r="B131" s="2" t="s">
        <v>50</v>
      </c>
      <c r="C131" s="3">
        <v>45915</v>
      </c>
      <c r="D131" s="2">
        <v>0.84</v>
      </c>
      <c r="E131" s="2">
        <v>7.0000000000000007E-2</v>
      </c>
      <c r="F131" s="2">
        <v>0.09</v>
      </c>
      <c r="G131">
        <v>-6.841505131140721E-2</v>
      </c>
      <c r="H131" s="2">
        <v>-6.0995433884511285E-2</v>
      </c>
      <c r="I131" s="2">
        <v>-6.0987269159160654E-2</v>
      </c>
      <c r="J131" s="2">
        <v>-3.6000782625709202E-2</v>
      </c>
      <c r="K131">
        <v>-6.0964345095141377E-2</v>
      </c>
      <c r="L131">
        <v>-6.1119030648610115E-2</v>
      </c>
    </row>
    <row r="132" spans="1:12" x14ac:dyDescent="0.25">
      <c r="B132" s="2" t="s">
        <v>50</v>
      </c>
      <c r="C132" s="3">
        <v>45929</v>
      </c>
      <c r="D132" s="2">
        <v>0.81</v>
      </c>
      <c r="E132" s="2">
        <v>0.05</v>
      </c>
      <c r="F132" s="2">
        <v>0.14000000000000001</v>
      </c>
      <c r="G132">
        <v>7.3439412484167851E-3</v>
      </c>
      <c r="H132" s="2">
        <v>1.4709449773955227E-2</v>
      </c>
      <c r="I132" s="2">
        <v>1.4704463855098868E-2</v>
      </c>
      <c r="J132" s="2">
        <v>1.4714836614572718E-2</v>
      </c>
      <c r="K132">
        <v>1.475506590596117E-2</v>
      </c>
      <c r="L132">
        <v>1.4803568039476024E-2</v>
      </c>
    </row>
    <row r="133" spans="1:12" x14ac:dyDescent="0.25">
      <c r="B133" s="2" t="s">
        <v>50</v>
      </c>
      <c r="C133" s="3">
        <v>45943</v>
      </c>
      <c r="D133" s="2">
        <v>0.78</v>
      </c>
      <c r="E133" s="2">
        <v>0.1</v>
      </c>
      <c r="F133" s="2">
        <v>0.12</v>
      </c>
      <c r="G133">
        <v>0.10085054678012227</v>
      </c>
      <c r="H133" s="2">
        <v>9.420368599495775E-2</v>
      </c>
      <c r="I133" s="2">
        <v>9.4193943618830323E-2</v>
      </c>
      <c r="J133" s="2">
        <v>9.4109410941094179E-2</v>
      </c>
      <c r="K133">
        <v>9.4222566886390025E-2</v>
      </c>
      <c r="L133">
        <v>9.425846268935853E-2</v>
      </c>
    </row>
    <row r="134" spans="1:12" x14ac:dyDescent="0.25">
      <c r="A134" t="s">
        <v>51</v>
      </c>
      <c r="B134" s="2" t="s">
        <v>52</v>
      </c>
      <c r="C134" s="3">
        <v>45873</v>
      </c>
      <c r="D134" s="2">
        <v>0.63</v>
      </c>
      <c r="E134" s="2">
        <v>0.18</v>
      </c>
      <c r="F134" s="2">
        <v>0.19</v>
      </c>
      <c r="G134">
        <v>7.3079556297635522E-4</v>
      </c>
      <c r="H134" s="2">
        <v>2.3933223935594613E-3</v>
      </c>
      <c r="I134" s="2">
        <v>-1.8804642974368006E-2</v>
      </c>
      <c r="J134" s="2">
        <v>-3.6050516647531554E-2</v>
      </c>
      <c r="K134">
        <v>2.4060954417857903E-3</v>
      </c>
      <c r="L134">
        <v>5.3025577043043391E-3</v>
      </c>
    </row>
    <row r="135" spans="1:12" x14ac:dyDescent="0.25">
      <c r="B135" s="2" t="s">
        <v>52</v>
      </c>
      <c r="C135" s="3">
        <v>45887</v>
      </c>
      <c r="D135" s="2">
        <v>0.7</v>
      </c>
      <c r="E135" s="2">
        <v>0.16</v>
      </c>
      <c r="F135" s="2">
        <v>0.14000000000000001</v>
      </c>
      <c r="G135">
        <v>-1.1091598114513882E-2</v>
      </c>
      <c r="H135" s="2">
        <v>1.0803335559403588E-2</v>
      </c>
      <c r="I135" s="2">
        <v>1.0801999829698091E-2</v>
      </c>
      <c r="J135" s="2">
        <v>1.077894235350167E-2</v>
      </c>
      <c r="K135">
        <v>1.0801440192025698E-2</v>
      </c>
      <c r="L135">
        <v>1.0815123443109781E-2</v>
      </c>
    </row>
    <row r="136" spans="1:12" x14ac:dyDescent="0.25">
      <c r="B136" s="2" t="s">
        <v>52</v>
      </c>
      <c r="C136" s="3">
        <v>45901</v>
      </c>
      <c r="D136" s="2">
        <v>0.69</v>
      </c>
      <c r="E136" s="2">
        <v>0.13</v>
      </c>
      <c r="F136" s="2">
        <v>0.18</v>
      </c>
      <c r="G136">
        <v>4.0952564561573491E-3</v>
      </c>
      <c r="H136" s="2">
        <v>-1.5634226912620345E-2</v>
      </c>
      <c r="I136" s="2">
        <v>-1.5632709549310939E-2</v>
      </c>
      <c r="J136" s="2">
        <v>2.4097095386790748E-2</v>
      </c>
      <c r="K136">
        <v>-1.5655233069481123E-2</v>
      </c>
      <c r="L136">
        <v>-1.5654461740846237E-2</v>
      </c>
    </row>
    <row r="137" spans="1:12" x14ac:dyDescent="0.25">
      <c r="B137" s="2" t="s">
        <v>52</v>
      </c>
      <c r="C137" s="3">
        <v>45915</v>
      </c>
      <c r="D137" s="2">
        <v>0.75</v>
      </c>
      <c r="E137" s="2">
        <v>0.13</v>
      </c>
      <c r="F137" s="2">
        <v>0.12</v>
      </c>
      <c r="G137">
        <v>-1.9648011919199553E-2</v>
      </c>
      <c r="H137" s="2">
        <v>-1.8098015573677805E-2</v>
      </c>
      <c r="I137" s="2">
        <v>-1.809379431757072E-2</v>
      </c>
      <c r="J137" s="2">
        <v>-1.8122195374525293E-2</v>
      </c>
      <c r="K137">
        <v>-1.8093280914939135E-2</v>
      </c>
      <c r="L137">
        <v>-1.8086243763364204E-2</v>
      </c>
    </row>
    <row r="138" spans="1:12" x14ac:dyDescent="0.25">
      <c r="B138" s="2" t="s">
        <v>52</v>
      </c>
      <c r="C138" s="3">
        <v>45929</v>
      </c>
      <c r="D138" s="2">
        <v>0.78</v>
      </c>
      <c r="E138" s="2">
        <v>0.12</v>
      </c>
      <c r="F138" s="2">
        <v>0.1</v>
      </c>
      <c r="G138">
        <v>1.6125917148935815E-2</v>
      </c>
      <c r="H138" s="2">
        <v>7.7307427078164596E-3</v>
      </c>
      <c r="I138" s="2">
        <v>7.7257333532547755E-3</v>
      </c>
      <c r="J138" s="2">
        <v>7.7342239409385815E-3</v>
      </c>
      <c r="K138">
        <v>7.7346558078165081E-3</v>
      </c>
      <c r="L138">
        <v>7.7579167044731284E-3</v>
      </c>
    </row>
    <row r="139" spans="1:12" x14ac:dyDescent="0.25">
      <c r="B139" s="2" t="s">
        <v>52</v>
      </c>
      <c r="C139" s="3">
        <v>45943</v>
      </c>
      <c r="D139" s="2">
        <v>0.52</v>
      </c>
      <c r="E139" s="2">
        <v>0.2</v>
      </c>
      <c r="F139" s="2">
        <v>0.28000000000000003</v>
      </c>
      <c r="G139">
        <v>-7.4801309010821045E-4</v>
      </c>
      <c r="H139" s="2">
        <v>2.6291778716865727E-3</v>
      </c>
      <c r="I139" s="2">
        <v>-4.5097082280557907E-4</v>
      </c>
      <c r="J139" s="2">
        <v>-1.6570730856445125E-2</v>
      </c>
      <c r="K139">
        <v>2.6186283805137048E-3</v>
      </c>
      <c r="L139">
        <v>-3.3313825237471883E-3</v>
      </c>
    </row>
    <row r="140" spans="1:12" x14ac:dyDescent="0.25">
      <c r="A140" t="s">
        <v>53</v>
      </c>
      <c r="B140" s="2" t="s">
        <v>54</v>
      </c>
      <c r="C140" s="3">
        <v>45873</v>
      </c>
      <c r="D140" s="2">
        <v>0.31</v>
      </c>
      <c r="E140" s="2">
        <v>0.09</v>
      </c>
      <c r="F140" s="2">
        <v>0.6</v>
      </c>
      <c r="G140">
        <v>-1.788617885947235E-2</v>
      </c>
      <c r="H140" s="2">
        <v>-1.6286279929774623E-2</v>
      </c>
      <c r="I140" s="2">
        <v>-1.6291898033610013E-2</v>
      </c>
      <c r="J140" s="2">
        <v>-1.6207455429497582E-2</v>
      </c>
      <c r="K140">
        <v>-1.6312711603570309E-2</v>
      </c>
      <c r="L140">
        <v>-1.6285289747399755E-2</v>
      </c>
    </row>
    <row r="141" spans="1:12" x14ac:dyDescent="0.25">
      <c r="B141" s="2" t="s">
        <v>54</v>
      </c>
      <c r="C141" s="3">
        <v>45887</v>
      </c>
      <c r="D141" s="2">
        <v>0.36</v>
      </c>
      <c r="E141" s="2">
        <v>0.28999999999999998</v>
      </c>
      <c r="F141" s="2">
        <v>0.35</v>
      </c>
      <c r="G141">
        <v>-1.5728476822802429E-2</v>
      </c>
      <c r="H141" s="2">
        <v>-2.4871843554206481E-3</v>
      </c>
      <c r="I141" s="2">
        <v>1.4903684936100464E-3</v>
      </c>
      <c r="J141" s="2">
        <v>-2.7457440966501948E-2</v>
      </c>
      <c r="K141">
        <v>-2.4405506883604594E-3</v>
      </c>
      <c r="L141">
        <v>1.6796568183191377E-2</v>
      </c>
    </row>
    <row r="142" spans="1:12" x14ac:dyDescent="0.25">
      <c r="B142" s="2" t="s">
        <v>54</v>
      </c>
      <c r="C142" s="3">
        <v>45901</v>
      </c>
      <c r="D142" s="2">
        <v>0.31</v>
      </c>
      <c r="E142" s="2">
        <v>0.24</v>
      </c>
      <c r="F142" s="2">
        <v>0.45</v>
      </c>
      <c r="G142">
        <v>-2.0185029434266817E-2</v>
      </c>
      <c r="H142" s="2">
        <v>-2.7389177563333804E-2</v>
      </c>
      <c r="I142" s="2">
        <v>-2.7381971055470772E-2</v>
      </c>
      <c r="J142" s="2">
        <v>-2.7291549030679384E-2</v>
      </c>
      <c r="K142">
        <v>-2.7413587604290867E-2</v>
      </c>
      <c r="L142">
        <v>-2.7333769089072459E-2</v>
      </c>
    </row>
    <row r="143" spans="1:12" x14ac:dyDescent="0.25">
      <c r="B143" s="2" t="s">
        <v>54</v>
      </c>
      <c r="C143" s="3">
        <v>45915</v>
      </c>
      <c r="D143" s="2">
        <v>0.46</v>
      </c>
      <c r="E143" s="2">
        <v>0.25</v>
      </c>
      <c r="F143" s="2">
        <v>0.28999999999999998</v>
      </c>
      <c r="G143">
        <v>-2.4034334766393686E-2</v>
      </c>
      <c r="H143" s="2">
        <v>-2.7299412915851261E-2</v>
      </c>
      <c r="I143" s="2">
        <v>-2.7311326167616619E-2</v>
      </c>
      <c r="J143" s="2">
        <v>-2.7283281733746129E-2</v>
      </c>
      <c r="K143">
        <v>-2.7283281733746133E-2</v>
      </c>
      <c r="L143">
        <v>-2.7307715804264134E-2</v>
      </c>
    </row>
    <row r="144" spans="1:12" x14ac:dyDescent="0.25">
      <c r="B144" s="2" t="s">
        <v>54</v>
      </c>
      <c r="C144" s="3">
        <v>45929</v>
      </c>
      <c r="D144" s="2">
        <v>0.48</v>
      </c>
      <c r="E144" s="2">
        <v>0.22</v>
      </c>
      <c r="F144" s="2">
        <v>0.3</v>
      </c>
      <c r="G144">
        <v>2.6385224277158245E-3</v>
      </c>
      <c r="H144" s="2">
        <v>2.6355497434865038E-3</v>
      </c>
      <c r="I144" s="2">
        <v>2.6347870541507446E-3</v>
      </c>
      <c r="J144" s="2">
        <v>2.586035408792456E-3</v>
      </c>
      <c r="K144">
        <v>2.5860354087925302E-3</v>
      </c>
      <c r="L144">
        <v>2.6378595653812217E-3</v>
      </c>
    </row>
    <row r="145" spans="1:12" x14ac:dyDescent="0.25">
      <c r="B145" s="2" t="s">
        <v>54</v>
      </c>
      <c r="C145" s="3">
        <v>45943</v>
      </c>
      <c r="D145" s="2">
        <v>0.33</v>
      </c>
      <c r="E145" s="2">
        <v>0.31</v>
      </c>
      <c r="F145" s="2">
        <v>0.36</v>
      </c>
      <c r="G145">
        <v>1.4035087720757376E-2</v>
      </c>
      <c r="H145" s="2">
        <v>1.1377317601733725E-2</v>
      </c>
      <c r="I145" s="2">
        <v>1.1374333228741731E-2</v>
      </c>
      <c r="J145" s="2">
        <v>2.2023809523809522E-2</v>
      </c>
      <c r="K145">
        <v>1.1375661375661298E-2</v>
      </c>
      <c r="L145">
        <v>1.1338010523678279E-2</v>
      </c>
    </row>
    <row r="146" spans="1:12" x14ac:dyDescent="0.25">
      <c r="A146" t="s">
        <v>55</v>
      </c>
      <c r="B146" s="2" t="s">
        <v>56</v>
      </c>
      <c r="C146" s="3">
        <v>45873</v>
      </c>
      <c r="D146" s="2">
        <v>0.76</v>
      </c>
      <c r="E146" s="2">
        <v>0.09</v>
      </c>
      <c r="F146" s="2">
        <v>0.15</v>
      </c>
      <c r="G146">
        <v>9.2439347829016291E-2</v>
      </c>
      <c r="H146" s="2">
        <v>5.3218245105732268E-2</v>
      </c>
      <c r="I146" s="2">
        <v>5.322156769147636E-2</v>
      </c>
      <c r="J146" s="2">
        <v>5.3204481495247737E-2</v>
      </c>
      <c r="K146">
        <v>5.3211937278704977E-2</v>
      </c>
      <c r="L146">
        <v>5.318257956448906E-2</v>
      </c>
    </row>
    <row r="147" spans="1:12" x14ac:dyDescent="0.25">
      <c r="B147" s="2" t="s">
        <v>56</v>
      </c>
      <c r="C147" s="3">
        <v>45887</v>
      </c>
      <c r="D147" s="2">
        <v>0.78</v>
      </c>
      <c r="E147" s="2">
        <v>0.05</v>
      </c>
      <c r="F147" s="2">
        <v>0.17</v>
      </c>
      <c r="G147">
        <v>0.14347057337582664</v>
      </c>
      <c r="H147" s="2">
        <v>0.19149982806709195</v>
      </c>
      <c r="I147" s="2">
        <v>0.13642091212901494</v>
      </c>
      <c r="J147" s="2">
        <v>0.13289639526090247</v>
      </c>
      <c r="K147">
        <v>0.19152819133608687</v>
      </c>
      <c r="L147">
        <v>0.14413518886679921</v>
      </c>
    </row>
    <row r="148" spans="1:12" x14ac:dyDescent="0.25">
      <c r="B148" s="2" t="s">
        <v>56</v>
      </c>
      <c r="C148" s="3">
        <v>45901</v>
      </c>
      <c r="D148" s="2">
        <v>0.76</v>
      </c>
      <c r="E148" s="2">
        <v>0.05</v>
      </c>
      <c r="F148" s="2">
        <v>0.19</v>
      </c>
      <c r="G148">
        <v>0.16500994035894292</v>
      </c>
      <c r="H148" s="2">
        <v>0.14636785967668875</v>
      </c>
      <c r="I148" s="2">
        <v>0.14636636952501164</v>
      </c>
      <c r="J148" s="2">
        <v>0.14636642784032752</v>
      </c>
      <c r="K148">
        <v>0.14639258363563079</v>
      </c>
      <c r="L148">
        <v>0.14639443961772361</v>
      </c>
    </row>
    <row r="149" spans="1:12" x14ac:dyDescent="0.25">
      <c r="B149" s="2" t="s">
        <v>56</v>
      </c>
      <c r="C149" s="3">
        <v>45915</v>
      </c>
      <c r="D149" s="2">
        <v>0.81</v>
      </c>
      <c r="E149" s="2">
        <v>0.05</v>
      </c>
      <c r="F149" s="2">
        <v>0.14000000000000001</v>
      </c>
      <c r="G149">
        <v>0.22866894198050366</v>
      </c>
      <c r="H149" s="2">
        <v>0.21893586296359746</v>
      </c>
      <c r="I149" s="2">
        <v>0.21893482075612361</v>
      </c>
      <c r="J149" s="2">
        <v>0.21892468944099369</v>
      </c>
      <c r="K149">
        <v>0.2189016243583434</v>
      </c>
      <c r="L149">
        <v>0.21894657067070875</v>
      </c>
    </row>
    <row r="150" spans="1:12" x14ac:dyDescent="0.25">
      <c r="B150" s="2" t="s">
        <v>56</v>
      </c>
      <c r="C150" s="3">
        <v>45929</v>
      </c>
      <c r="D150" s="2">
        <v>0.77</v>
      </c>
      <c r="E150" s="2">
        <v>7.0000000000000007E-2</v>
      </c>
      <c r="F150" s="2">
        <v>0.16</v>
      </c>
      <c r="G150">
        <v>-0.1051351008803563</v>
      </c>
      <c r="H150" s="2">
        <v>-4.9808956662421154E-2</v>
      </c>
      <c r="I150" s="2">
        <v>-4.9808993909132557E-2</v>
      </c>
      <c r="J150" s="2">
        <v>-7.0797305689580967E-2</v>
      </c>
      <c r="K150">
        <v>-4.9786546671281899E-2</v>
      </c>
      <c r="L150">
        <v>-4.9801044516289514E-2</v>
      </c>
    </row>
    <row r="151" spans="1:12" x14ac:dyDescent="0.25">
      <c r="B151" s="2" t="s">
        <v>56</v>
      </c>
      <c r="C151" s="3">
        <v>45943</v>
      </c>
      <c r="D151" s="2">
        <v>0.78</v>
      </c>
      <c r="E151" s="2">
        <v>0.09</v>
      </c>
      <c r="F151" s="2">
        <v>0.13</v>
      </c>
      <c r="G151">
        <v>0.10666666666780804</v>
      </c>
      <c r="H151" s="2">
        <v>5.1148988069361877E-2</v>
      </c>
      <c r="I151" s="2">
        <v>5.1152473783408252E-2</v>
      </c>
      <c r="J151" s="2">
        <v>5.1154182304251665E-2</v>
      </c>
      <c r="K151">
        <v>5.118086333555949E-2</v>
      </c>
      <c r="L151">
        <v>5.1102532225348468E-2</v>
      </c>
    </row>
    <row r="152" spans="1:12" x14ac:dyDescent="0.25">
      <c r="A152" t="s">
        <v>57</v>
      </c>
      <c r="B152" s="2" t="s">
        <v>58</v>
      </c>
      <c r="C152" s="3">
        <v>45873</v>
      </c>
      <c r="D152" s="2">
        <v>0.68</v>
      </c>
      <c r="E152" s="2">
        <v>0.15</v>
      </c>
      <c r="F152" s="2">
        <v>0.17</v>
      </c>
      <c r="G152">
        <v>9.4594594595572325E-3</v>
      </c>
      <c r="H152" s="2">
        <v>-1.7452023882736274E-2</v>
      </c>
      <c r="I152" s="2">
        <v>-4.4388360320427936E-2</v>
      </c>
      <c r="J152" s="2">
        <v>-4.7027565592826281E-2</v>
      </c>
      <c r="K152">
        <v>-1.7433376852776239E-2</v>
      </c>
      <c r="L152">
        <v>-2.3809523809523916E-2</v>
      </c>
    </row>
    <row r="153" spans="1:12" x14ac:dyDescent="0.25">
      <c r="B153" s="2" t="s">
        <v>58</v>
      </c>
      <c r="C153" s="3">
        <v>45887</v>
      </c>
      <c r="D153" s="2">
        <v>0.72</v>
      </c>
      <c r="E153" s="2">
        <v>0.14000000000000001</v>
      </c>
      <c r="F153" s="2">
        <v>0.14000000000000001</v>
      </c>
      <c r="G153">
        <v>1.4725568941124294E-2</v>
      </c>
      <c r="H153" s="2">
        <v>3.961952637934002E-2</v>
      </c>
      <c r="I153" s="2">
        <v>3.9620347572002203E-2</v>
      </c>
      <c r="J153" s="2">
        <v>3.9659859204014741E-2</v>
      </c>
      <c r="K153">
        <v>3.9549788963576658E-2</v>
      </c>
      <c r="L153">
        <v>3.9575137686860752E-2</v>
      </c>
    </row>
    <row r="154" spans="1:12" x14ac:dyDescent="0.25">
      <c r="B154" s="2" t="s">
        <v>58</v>
      </c>
      <c r="C154" s="3">
        <v>45901</v>
      </c>
      <c r="D154" s="2">
        <v>0.68</v>
      </c>
      <c r="E154" s="2">
        <v>0.15</v>
      </c>
      <c r="F154" s="2">
        <v>0.17</v>
      </c>
      <c r="G154">
        <v>-5.9366754616657309E-2</v>
      </c>
      <c r="H154" s="2">
        <v>-4.9932683555825245E-2</v>
      </c>
      <c r="I154" s="2">
        <v>-4.9932682763839401E-2</v>
      </c>
      <c r="J154" s="2">
        <v>-1.4950388844194145E-2</v>
      </c>
      <c r="K154">
        <v>-4.9924812030075198E-2</v>
      </c>
      <c r="L154">
        <v>-4.9875122984938965E-2</v>
      </c>
    </row>
    <row r="155" spans="1:12" x14ac:dyDescent="0.25">
      <c r="B155" s="2" t="s">
        <v>58</v>
      </c>
      <c r="C155" s="3">
        <v>45915</v>
      </c>
      <c r="D155" s="2">
        <v>0.73</v>
      </c>
      <c r="E155" s="2">
        <v>0.16</v>
      </c>
      <c r="F155" s="2">
        <v>0.11</v>
      </c>
      <c r="G155">
        <v>-6.5918653577144812E-2</v>
      </c>
      <c r="H155" s="2">
        <v>-7.7455828272899138E-2</v>
      </c>
      <c r="I155" s="2">
        <v>-7.7454590591253356E-2</v>
      </c>
      <c r="J155" s="2">
        <v>-7.7451847818689259E-2</v>
      </c>
      <c r="K155">
        <v>-7.7397910731244149E-2</v>
      </c>
      <c r="L155">
        <v>-7.7505177632627181E-2</v>
      </c>
    </row>
    <row r="156" spans="1:12" x14ac:dyDescent="0.25">
      <c r="B156" s="2" t="s">
        <v>58</v>
      </c>
      <c r="C156" s="3">
        <v>45929</v>
      </c>
      <c r="D156" s="2">
        <v>0.75</v>
      </c>
      <c r="E156" s="2">
        <v>0.13</v>
      </c>
      <c r="F156" s="2">
        <v>0.12</v>
      </c>
      <c r="G156">
        <v>2.5525525525818733E-2</v>
      </c>
      <c r="H156" s="2">
        <v>1.3489247544459231E-2</v>
      </c>
      <c r="I156" s="2">
        <v>1.3488361663004026E-2</v>
      </c>
      <c r="J156" s="2">
        <v>1.3500553301364798E-2</v>
      </c>
      <c r="K156">
        <v>1.3467147023503215E-2</v>
      </c>
      <c r="L156">
        <v>1.3556687678093472E-2</v>
      </c>
    </row>
    <row r="157" spans="1:12" x14ac:dyDescent="0.25">
      <c r="B157" s="2" t="s">
        <v>58</v>
      </c>
      <c r="C157" s="3">
        <v>45943</v>
      </c>
      <c r="D157" s="2">
        <v>0.53</v>
      </c>
      <c r="E157" s="2">
        <v>0.16</v>
      </c>
      <c r="F157" s="2">
        <v>0.31</v>
      </c>
      <c r="G157">
        <v>5.8565153734185093E-3</v>
      </c>
      <c r="H157" s="2">
        <v>1.6276910268862525E-2</v>
      </c>
      <c r="I157" s="2">
        <v>8.3360069033421753E-3</v>
      </c>
      <c r="J157" s="2">
        <v>-1.1646527878874829E-3</v>
      </c>
      <c r="K157">
        <v>1.6250528988573938E-2</v>
      </c>
      <c r="L157">
        <v>1.8486965411484115E-2</v>
      </c>
    </row>
    <row r="158" spans="1:12" x14ac:dyDescent="0.25">
      <c r="A158" t="s">
        <v>59</v>
      </c>
      <c r="B158" s="2" t="s">
        <v>60</v>
      </c>
      <c r="C158" s="3">
        <v>45873</v>
      </c>
      <c r="D158" s="2">
        <v>0.54</v>
      </c>
      <c r="E158" s="2">
        <v>0.13</v>
      </c>
      <c r="F158" s="2">
        <v>0.33</v>
      </c>
      <c r="G158">
        <v>3.1858464269086555E-2</v>
      </c>
      <c r="H158" s="2">
        <v>3.1986955267808877E-2</v>
      </c>
      <c r="I158" s="2">
        <v>3.1988567659668017E-2</v>
      </c>
      <c r="J158" s="2">
        <v>3.1965856632697659E-2</v>
      </c>
      <c r="K158">
        <v>3.198344154644138E-2</v>
      </c>
      <c r="L158">
        <v>3.1976744186046471E-2</v>
      </c>
    </row>
    <row r="159" spans="1:12" x14ac:dyDescent="0.25">
      <c r="B159" s="2" t="s">
        <v>60</v>
      </c>
      <c r="C159" s="3">
        <v>45887</v>
      </c>
      <c r="D159" s="2">
        <v>0.63</v>
      </c>
      <c r="E159" s="2">
        <v>0.1</v>
      </c>
      <c r="F159" s="2">
        <v>0.27</v>
      </c>
      <c r="G159">
        <v>-3.3816425119977379E-3</v>
      </c>
      <c r="H159" s="2">
        <v>1.697210727145701E-2</v>
      </c>
      <c r="I159" s="2">
        <v>1.6974109626807642E-2</v>
      </c>
      <c r="J159" s="2">
        <v>1.696488858879136E-2</v>
      </c>
      <c r="K159">
        <v>1.6976469324164484E-2</v>
      </c>
      <c r="L159">
        <v>1.6979295125592236E-2</v>
      </c>
    </row>
    <row r="160" spans="1:12" x14ac:dyDescent="0.25">
      <c r="B160" s="2" t="s">
        <v>60</v>
      </c>
      <c r="C160" s="3">
        <v>45901</v>
      </c>
      <c r="D160" s="2">
        <v>0.56000000000000005</v>
      </c>
      <c r="E160" s="2">
        <v>0.11</v>
      </c>
      <c r="F160" s="2">
        <v>33</v>
      </c>
      <c r="G160">
        <v>-5.3805138147845315E-2</v>
      </c>
      <c r="H160" s="2">
        <v>-6.7713728059977052E-2</v>
      </c>
      <c r="I160" s="2">
        <v>-0.1057391947259788</v>
      </c>
      <c r="J160" s="2">
        <v>-8.1417545024483423E-2</v>
      </c>
      <c r="K160">
        <v>-6.7711451546633744E-2</v>
      </c>
      <c r="L160">
        <v>-0.12366133540967283</v>
      </c>
    </row>
    <row r="161" spans="1:12" x14ac:dyDescent="0.25">
      <c r="B161" s="2" t="s">
        <v>60</v>
      </c>
      <c r="C161" s="3">
        <v>45915</v>
      </c>
      <c r="D161" s="2">
        <v>0.53</v>
      </c>
      <c r="E161" s="2">
        <v>0.11</v>
      </c>
      <c r="F161" s="2">
        <v>0.36</v>
      </c>
      <c r="G161">
        <v>-2.254098360725991E-2</v>
      </c>
      <c r="H161" s="2">
        <v>-4.2966949082086918E-2</v>
      </c>
      <c r="I161" s="2">
        <v>-4.297141439821426E-2</v>
      </c>
      <c r="J161" s="2">
        <v>-4.3006866642573263E-2</v>
      </c>
      <c r="K161">
        <v>-4.2975685306672423E-2</v>
      </c>
      <c r="L161">
        <v>-4.2968465515985717E-2</v>
      </c>
    </row>
    <row r="162" spans="1:12" x14ac:dyDescent="0.25">
      <c r="B162" s="2" t="s">
        <v>60</v>
      </c>
      <c r="C162" s="3">
        <v>45929</v>
      </c>
      <c r="D162" s="2">
        <v>0.61</v>
      </c>
      <c r="E162" s="2">
        <v>0.11</v>
      </c>
      <c r="F162" s="2">
        <v>0.28000000000000003</v>
      </c>
      <c r="G162">
        <v>-2.0440251571424921E-2</v>
      </c>
      <c r="H162" s="2">
        <v>1.2292104307172414E-2</v>
      </c>
      <c r="I162" s="2">
        <v>1.2296085122313049E-2</v>
      </c>
      <c r="J162" s="2">
        <v>1.2273413897281083E-2</v>
      </c>
      <c r="K162">
        <v>1.2301984106099756E-2</v>
      </c>
      <c r="L162">
        <v>1.2297389848565555E-2</v>
      </c>
    </row>
    <row r="163" spans="1:12" x14ac:dyDescent="0.25">
      <c r="B163" s="2" t="s">
        <v>60</v>
      </c>
      <c r="C163" s="3">
        <v>45943</v>
      </c>
      <c r="D163" s="2">
        <v>0.6</v>
      </c>
      <c r="E163" s="2">
        <v>0.1</v>
      </c>
      <c r="F163" s="2">
        <v>0.3</v>
      </c>
      <c r="G163">
        <v>5.8855002669462092E-3</v>
      </c>
      <c r="H163" s="2">
        <v>-7.391804653521441E-3</v>
      </c>
      <c r="I163" s="2">
        <v>-7.3890224301990702E-3</v>
      </c>
      <c r="J163" s="2">
        <v>-7.3680283529192481E-3</v>
      </c>
      <c r="K163">
        <v>-7.3954691378885374E-3</v>
      </c>
      <c r="L163">
        <v>-7.3970502007126293E-3</v>
      </c>
    </row>
    <row r="164" spans="1:12" x14ac:dyDescent="0.25">
      <c r="A164" t="s">
        <v>61</v>
      </c>
      <c r="B164" s="2" t="s">
        <v>62</v>
      </c>
      <c r="C164" s="3">
        <v>45873</v>
      </c>
      <c r="D164" s="2">
        <v>0.88</v>
      </c>
      <c r="E164" s="2">
        <v>0.03</v>
      </c>
      <c r="F164" s="2">
        <v>0.09</v>
      </c>
      <c r="G164">
        <v>0</v>
      </c>
      <c r="H164" s="2">
        <v>-2.5767925068509844E-3</v>
      </c>
      <c r="I164" s="2">
        <v>-2.5659494012784901E-3</v>
      </c>
      <c r="J164" s="2">
        <v>-2.6360384108455428E-3</v>
      </c>
      <c r="K164">
        <v>-2.5326319890901379E-3</v>
      </c>
      <c r="L164">
        <v>-2.5360113613309572E-3</v>
      </c>
    </row>
    <row r="165" spans="1:12" x14ac:dyDescent="0.25">
      <c r="B165" s="2" t="s">
        <v>62</v>
      </c>
      <c r="C165" s="3">
        <v>45887</v>
      </c>
      <c r="D165" s="2">
        <v>0.68</v>
      </c>
      <c r="E165" s="2">
        <v>0.08</v>
      </c>
      <c r="F165" s="2">
        <v>0.24</v>
      </c>
      <c r="G165">
        <v>-1.3636363639736332E-2</v>
      </c>
      <c r="H165" s="2">
        <v>-1.1646026408595087E-2</v>
      </c>
      <c r="I165" s="2">
        <v>7.3227422484993351E-2</v>
      </c>
      <c r="J165" s="2">
        <v>-3.7285255805172619E-2</v>
      </c>
      <c r="K165">
        <v>-1.1621093750000021E-2</v>
      </c>
      <c r="L165">
        <v>-4.3730295942235034E-3</v>
      </c>
    </row>
    <row r="166" spans="1:12" x14ac:dyDescent="0.25">
      <c r="B166" s="2" t="s">
        <v>62</v>
      </c>
      <c r="C166" s="3">
        <v>45901</v>
      </c>
      <c r="D166" s="2">
        <v>0.7</v>
      </c>
      <c r="E166" s="2">
        <v>0.09</v>
      </c>
      <c r="F166" s="2">
        <v>0.21</v>
      </c>
      <c r="G166">
        <v>-1.5799868332927992E-2</v>
      </c>
      <c r="H166" s="2">
        <v>-1.7674881752551736E-2</v>
      </c>
      <c r="I166" s="2">
        <v>-1.7683298639584392E-2</v>
      </c>
      <c r="J166" s="2">
        <v>-1.7648789096970305E-2</v>
      </c>
      <c r="K166">
        <v>-1.768599940717323E-2</v>
      </c>
      <c r="L166">
        <v>-1.7671092951991811E-2</v>
      </c>
    </row>
    <row r="167" spans="1:12" x14ac:dyDescent="0.25">
      <c r="B167" s="2" t="s">
        <v>62</v>
      </c>
      <c r="C167" s="3">
        <v>45915</v>
      </c>
      <c r="D167" s="2">
        <v>0.39</v>
      </c>
      <c r="E167" s="2">
        <v>0.21</v>
      </c>
      <c r="F167" s="2">
        <v>0.4</v>
      </c>
      <c r="G167">
        <v>-4.6822742473631038E-2</v>
      </c>
      <c r="H167" s="2">
        <v>-4.3292785943571568E-2</v>
      </c>
      <c r="I167" s="2">
        <v>-4.3302367395864579E-2</v>
      </c>
      <c r="J167" s="2">
        <v>-4.3317696376883916E-2</v>
      </c>
      <c r="K167">
        <v>-4.3351438342385869E-2</v>
      </c>
      <c r="L167">
        <v>-4.3256732868877996E-2</v>
      </c>
    </row>
    <row r="168" spans="1:12" x14ac:dyDescent="0.25">
      <c r="B168" s="2" t="s">
        <v>62</v>
      </c>
      <c r="C168" s="3">
        <v>45929</v>
      </c>
      <c r="D168" s="2">
        <v>0.62</v>
      </c>
      <c r="E168" s="2">
        <v>0.15</v>
      </c>
      <c r="F168" s="2">
        <v>0.23</v>
      </c>
      <c r="G168">
        <v>1.3333333331460744E-2</v>
      </c>
      <c r="H168" s="2">
        <v>1.1125336629729324E-2</v>
      </c>
      <c r="I168" s="2">
        <v>1.1142185926837519E-2</v>
      </c>
      <c r="J168" s="2">
        <v>1.1163275952008275E-2</v>
      </c>
      <c r="K168">
        <v>1.1144990011565614E-2</v>
      </c>
      <c r="L168">
        <v>1.1085751548744686E-2</v>
      </c>
    </row>
    <row r="169" spans="1:12" x14ac:dyDescent="0.25">
      <c r="B169" s="2" t="s">
        <v>62</v>
      </c>
      <c r="C169" s="3">
        <v>45943</v>
      </c>
      <c r="D169" s="2">
        <v>0.63</v>
      </c>
      <c r="E169" s="2">
        <v>0.17</v>
      </c>
      <c r="F169" s="2">
        <v>0.2</v>
      </c>
      <c r="G169">
        <v>4.8476454305734495E-3</v>
      </c>
      <c r="H169" s="2">
        <v>-6.7676723573328402E-4</v>
      </c>
      <c r="I169" s="2">
        <v>-6.8594693868516811E-4</v>
      </c>
      <c r="J169" s="2">
        <v>3.8072637226578672E-2</v>
      </c>
      <c r="K169">
        <v>-6.238951856088645E-4</v>
      </c>
      <c r="L169">
        <v>-6.4495324089008379E-4</v>
      </c>
    </row>
    <row r="170" spans="1:12" x14ac:dyDescent="0.25">
      <c r="A170" t="s">
        <v>63</v>
      </c>
      <c r="B170" s="2" t="s">
        <v>64</v>
      </c>
      <c r="C170" s="3">
        <v>45873</v>
      </c>
      <c r="D170" s="2">
        <v>0.55000000000000004</v>
      </c>
      <c r="E170" s="2">
        <v>0.14000000000000001</v>
      </c>
      <c r="F170" s="2">
        <v>0.31</v>
      </c>
      <c r="G170">
        <v>9.1486361032424302E-3</v>
      </c>
      <c r="H170" s="2">
        <v>5.6734142664217968E-3</v>
      </c>
      <c r="I170" s="2">
        <v>5.6772100567720465E-3</v>
      </c>
      <c r="J170" s="2">
        <v>5.6873953461515758E-3</v>
      </c>
      <c r="K170">
        <v>5.6777465409844968E-3</v>
      </c>
      <c r="L170">
        <v>5.6673947694669416E-3</v>
      </c>
    </row>
    <row r="171" spans="1:12" x14ac:dyDescent="0.25">
      <c r="B171" s="2" t="s">
        <v>64</v>
      </c>
      <c r="C171" s="3">
        <v>45887</v>
      </c>
      <c r="D171" s="2">
        <v>0.72</v>
      </c>
      <c r="E171" s="2">
        <v>0.06</v>
      </c>
      <c r="F171" s="2">
        <v>0.22</v>
      </c>
      <c r="G171">
        <v>0.1828189078364981</v>
      </c>
      <c r="H171" s="2">
        <v>0.19296600234466596</v>
      </c>
      <c r="I171" s="2">
        <v>7.0525177025963837E-2</v>
      </c>
      <c r="J171" s="2">
        <v>0.11316204966269561</v>
      </c>
      <c r="K171">
        <v>0.19294014470510856</v>
      </c>
      <c r="L171">
        <v>0.11869680070443202</v>
      </c>
    </row>
    <row r="172" spans="1:12" x14ac:dyDescent="0.25">
      <c r="B172" s="2" t="s">
        <v>64</v>
      </c>
      <c r="C172" s="3">
        <v>45901</v>
      </c>
      <c r="D172" s="2">
        <v>0.6</v>
      </c>
      <c r="E172" s="2">
        <v>0.12</v>
      </c>
      <c r="F172" s="2">
        <v>0.28000000000000003</v>
      </c>
      <c r="G172">
        <v>7.2445255475454634E-2</v>
      </c>
      <c r="H172" s="2">
        <v>4.6943491518963203E-2</v>
      </c>
      <c r="I172" s="2">
        <v>4.694490633985917E-2</v>
      </c>
      <c r="J172" s="2">
        <v>4.69608272945303E-2</v>
      </c>
      <c r="K172">
        <v>4.6958279727991104E-2</v>
      </c>
      <c r="L172">
        <v>4.6964370047751551E-2</v>
      </c>
    </row>
    <row r="173" spans="1:12" x14ac:dyDescent="0.25">
      <c r="B173" s="2" t="s">
        <v>64</v>
      </c>
      <c r="C173" s="3">
        <v>45915</v>
      </c>
      <c r="D173" s="2">
        <v>0.57999999999999996</v>
      </c>
      <c r="E173" s="2">
        <v>0.16</v>
      </c>
      <c r="F173" s="2">
        <v>0.26</v>
      </c>
      <c r="G173">
        <v>-9.8179343203156813E-2</v>
      </c>
      <c r="H173" s="2">
        <v>-8.8112818995824641E-2</v>
      </c>
      <c r="I173" s="2">
        <v>-8.8109089951825717E-2</v>
      </c>
      <c r="J173" s="2">
        <v>-8.8132420316271762E-2</v>
      </c>
      <c r="K173">
        <v>-8.8124286842798244E-2</v>
      </c>
      <c r="L173">
        <v>-8.8111467522053011E-2</v>
      </c>
    </row>
    <row r="174" spans="1:12" x14ac:dyDescent="0.25">
      <c r="B174" s="2" t="s">
        <v>64</v>
      </c>
      <c r="C174" s="3">
        <v>45929</v>
      </c>
      <c r="D174" s="2">
        <v>0.49</v>
      </c>
      <c r="E174" s="2">
        <v>0.1</v>
      </c>
      <c r="F174" s="2">
        <v>0.41</v>
      </c>
      <c r="G174">
        <v>1.8869793405312458E-3</v>
      </c>
      <c r="H174" s="2">
        <v>1.4292220066501715E-2</v>
      </c>
      <c r="I174" s="2">
        <v>1.4289838337182477E-2</v>
      </c>
      <c r="J174" s="2">
        <v>1.4316585629389502E-2</v>
      </c>
      <c r="K174">
        <v>1.4293964770430292E-2</v>
      </c>
      <c r="L174">
        <v>1.4290425414971983E-2</v>
      </c>
    </row>
    <row r="175" spans="1:12" x14ac:dyDescent="0.25">
      <c r="B175" s="2" t="s">
        <v>64</v>
      </c>
      <c r="C175" s="3">
        <v>45943</v>
      </c>
      <c r="D175" s="2">
        <v>0.53</v>
      </c>
      <c r="E175" s="2">
        <v>0.22</v>
      </c>
      <c r="F175" s="2">
        <v>0.25</v>
      </c>
      <c r="G175">
        <v>-7.984934086640047E-2</v>
      </c>
      <c r="H175" s="2">
        <v>-8.1918714788299318E-2</v>
      </c>
      <c r="I175" s="2">
        <v>-8.1922109956833189E-2</v>
      </c>
      <c r="J175" s="2">
        <v>-1.8508655126497915E-2</v>
      </c>
      <c r="K175">
        <v>-8.1897983392645257E-2</v>
      </c>
      <c r="L175">
        <v>-8.193345616126585E-2</v>
      </c>
    </row>
    <row r="176" spans="1:12" x14ac:dyDescent="0.25">
      <c r="A176" t="s">
        <v>65</v>
      </c>
      <c r="B176" s="2" t="s">
        <v>66</v>
      </c>
      <c r="C176" s="3">
        <v>45873</v>
      </c>
      <c r="D176" s="2">
        <v>0.64</v>
      </c>
      <c r="E176" s="2">
        <v>0.11</v>
      </c>
      <c r="F176" s="2">
        <v>0.25</v>
      </c>
      <c r="G176">
        <v>0.19271948608285594</v>
      </c>
      <c r="H176" s="2">
        <v>0.15494377156954087</v>
      </c>
      <c r="I176" s="2">
        <v>0.15494182423782371</v>
      </c>
      <c r="J176" s="2">
        <v>0.15493561263841599</v>
      </c>
      <c r="K176">
        <v>0.15494117147347408</v>
      </c>
      <c r="L176">
        <v>0.15494155264504481</v>
      </c>
    </row>
    <row r="177" spans="1:12" x14ac:dyDescent="0.25">
      <c r="B177" s="2" t="s">
        <v>66</v>
      </c>
      <c r="C177" s="3">
        <v>45887</v>
      </c>
      <c r="D177" s="2">
        <v>0.62</v>
      </c>
      <c r="E177" s="2">
        <v>0.12</v>
      </c>
      <c r="F177" s="2">
        <v>0.26</v>
      </c>
      <c r="G177">
        <v>3.0161579892262803E-2</v>
      </c>
      <c r="H177" s="2">
        <v>8.0343305898553555E-2</v>
      </c>
      <c r="I177" s="2">
        <v>7.4575805656579858E-3</v>
      </c>
      <c r="J177" s="2">
        <v>4.2490871101911701E-2</v>
      </c>
      <c r="K177">
        <v>8.0344146067159561E-2</v>
      </c>
      <c r="L177">
        <v>8.1944698498565172E-2</v>
      </c>
    </row>
    <row r="178" spans="1:12" x14ac:dyDescent="0.25">
      <c r="B178" s="2" t="s">
        <v>66</v>
      </c>
      <c r="C178" s="3">
        <v>45901</v>
      </c>
      <c r="D178" s="2">
        <v>0.59</v>
      </c>
      <c r="E178" s="2">
        <v>0.13</v>
      </c>
      <c r="F178" s="2">
        <v>0.28000000000000003</v>
      </c>
      <c r="G178">
        <v>-5.1585918438451776E-2</v>
      </c>
      <c r="H178" s="2">
        <v>-6.7797430121300503E-2</v>
      </c>
      <c r="I178" s="2">
        <v>-6.7797105259314511E-2</v>
      </c>
      <c r="J178" s="2">
        <v>-6.780676943825277E-2</v>
      </c>
      <c r="K178">
        <v>-6.7796864042702534E-2</v>
      </c>
      <c r="L178">
        <v>-6.7796445755083104E-2</v>
      </c>
    </row>
    <row r="179" spans="1:12" x14ac:dyDescent="0.25">
      <c r="B179" s="2" t="s">
        <v>66</v>
      </c>
      <c r="C179" s="3">
        <v>45915</v>
      </c>
      <c r="D179" s="2">
        <v>0.49</v>
      </c>
      <c r="E179" s="2">
        <v>0.14000000000000001</v>
      </c>
      <c r="F179" s="2">
        <v>0.37</v>
      </c>
      <c r="G179">
        <v>1.3597941933686308E-2</v>
      </c>
      <c r="H179" s="2">
        <v>-3.3023614727503273E-2</v>
      </c>
      <c r="I179" s="2">
        <v>-3.3024164277395608E-2</v>
      </c>
      <c r="J179" s="2">
        <v>-3.301384451544194E-2</v>
      </c>
      <c r="K179">
        <v>-3.3023856405821672E-2</v>
      </c>
      <c r="L179">
        <v>-3.3023979735183895E-2</v>
      </c>
    </row>
    <row r="180" spans="1:12" x14ac:dyDescent="0.25">
      <c r="B180" s="2" t="s">
        <v>66</v>
      </c>
      <c r="C180" s="3">
        <v>45929</v>
      </c>
      <c r="D180" s="2">
        <v>0.52</v>
      </c>
      <c r="E180" s="2">
        <v>0.14000000000000001</v>
      </c>
      <c r="F180" s="2">
        <v>0.34</v>
      </c>
      <c r="G180">
        <v>-7.1065989847634237E-2</v>
      </c>
      <c r="H180" s="2">
        <v>1.1503586412234949E-3</v>
      </c>
      <c r="I180" s="2">
        <v>1.1503719806111065E-3</v>
      </c>
      <c r="J180" s="2">
        <v>1.1428808910314222E-3</v>
      </c>
      <c r="K180">
        <v>1.15107826727977E-3</v>
      </c>
      <c r="L180">
        <v>1.1514609256577399E-3</v>
      </c>
    </row>
    <row r="181" spans="1:12" x14ac:dyDescent="0.25">
      <c r="B181" s="2" t="s">
        <v>66</v>
      </c>
      <c r="C181" s="3">
        <v>45943</v>
      </c>
      <c r="D181" s="2">
        <v>0.49</v>
      </c>
      <c r="E181" s="2">
        <v>0.13</v>
      </c>
      <c r="F181" s="2">
        <v>0.38</v>
      </c>
      <c r="G181">
        <v>1.0928961748620335E-2</v>
      </c>
      <c r="H181" s="2">
        <v>-7.2811178054096506E-3</v>
      </c>
      <c r="I181" s="2">
        <v>-7.2827121899116396E-3</v>
      </c>
      <c r="J181" s="2">
        <v>-7.2853317835571332E-3</v>
      </c>
      <c r="K181">
        <v>-7.2825348924934986E-3</v>
      </c>
      <c r="L181">
        <v>-7.283174684096322E-3</v>
      </c>
    </row>
    <row r="182" spans="1:12" x14ac:dyDescent="0.25">
      <c r="A182" t="s">
        <v>67</v>
      </c>
      <c r="B182" s="2" t="s">
        <v>68</v>
      </c>
      <c r="C182" s="3">
        <v>45873</v>
      </c>
      <c r="D182" s="2">
        <v>0.45</v>
      </c>
      <c r="E182" s="2">
        <v>0.14000000000000001</v>
      </c>
      <c r="F182" s="2">
        <v>0.41</v>
      </c>
      <c r="G182">
        <v>-4.2931937172706595E-2</v>
      </c>
      <c r="H182" s="2">
        <v>-2.6540839393196562E-2</v>
      </c>
      <c r="I182" s="2">
        <v>-2.6536388140161765E-2</v>
      </c>
      <c r="J182" s="2">
        <v>-2.6508591980817939E-2</v>
      </c>
      <c r="K182">
        <v>-2.6514459665144582E-2</v>
      </c>
      <c r="L182">
        <v>-2.6550265502654966E-2</v>
      </c>
    </row>
    <row r="183" spans="1:12" x14ac:dyDescent="0.25">
      <c r="B183" s="2" t="s">
        <v>68</v>
      </c>
      <c r="C183" s="3">
        <v>45887</v>
      </c>
      <c r="D183" s="2">
        <v>0.5</v>
      </c>
      <c r="E183" s="2">
        <v>0.19</v>
      </c>
      <c r="F183" s="2">
        <v>0.31</v>
      </c>
      <c r="G183">
        <v>-1.09409190372421E-2</v>
      </c>
      <c r="H183" s="2">
        <v>-1.8535357067916387E-2</v>
      </c>
      <c r="I183" s="2">
        <v>-1.8537746950755173E-2</v>
      </c>
      <c r="J183" s="2">
        <v>-1.8472906403940826E-2</v>
      </c>
      <c r="K183">
        <v>-1.8543419118796818E-2</v>
      </c>
      <c r="L183">
        <v>-1.8521942800789035E-2</v>
      </c>
    </row>
    <row r="184" spans="1:12" x14ac:dyDescent="0.25">
      <c r="B184" s="2" t="s">
        <v>68</v>
      </c>
      <c r="C184" s="3">
        <v>45901</v>
      </c>
      <c r="D184" s="2">
        <v>0.45</v>
      </c>
      <c r="E184" s="2">
        <v>0.27</v>
      </c>
      <c r="F184" s="2">
        <v>0.28000000000000003</v>
      </c>
      <c r="G184">
        <v>0</v>
      </c>
      <c r="H184" s="2">
        <v>1.332668187001136E-2</v>
      </c>
      <c r="I184" s="2">
        <v>9.6343734130790223E-3</v>
      </c>
      <c r="J184" s="2">
        <v>-1.1013522933221829E-2</v>
      </c>
      <c r="K184">
        <v>1.3318039890397083E-2</v>
      </c>
      <c r="L184">
        <v>-1.2277451565296547E-2</v>
      </c>
    </row>
    <row r="185" spans="1:12" x14ac:dyDescent="0.25">
      <c r="B185" s="2" t="s">
        <v>68</v>
      </c>
      <c r="C185" s="3">
        <v>45915</v>
      </c>
      <c r="D185" s="2">
        <v>0.64</v>
      </c>
      <c r="E185" s="2">
        <v>0.14000000000000001</v>
      </c>
      <c r="F185" s="2">
        <v>0.22</v>
      </c>
      <c r="G185">
        <v>-4.8672566371705792E-2</v>
      </c>
      <c r="H185" s="2">
        <v>-5.0439552711161129E-2</v>
      </c>
      <c r="I185" s="2">
        <v>-5.0436604959832314E-2</v>
      </c>
      <c r="J185" s="2">
        <v>-5.0465181843811747E-2</v>
      </c>
      <c r="K185">
        <v>-5.0433907684568006E-2</v>
      </c>
      <c r="L185">
        <v>-5.0451424211597172E-2</v>
      </c>
    </row>
    <row r="186" spans="1:12" x14ac:dyDescent="0.25">
      <c r="B186" s="2" t="s">
        <v>68</v>
      </c>
      <c r="C186" s="3">
        <v>45929</v>
      </c>
      <c r="D186" s="2">
        <v>0.52</v>
      </c>
      <c r="E186" s="2">
        <v>0.25</v>
      </c>
      <c r="F186" s="2">
        <v>0.23</v>
      </c>
      <c r="G186">
        <v>1.1627906976790794E-2</v>
      </c>
      <c r="H186" s="2">
        <v>4.6216060080878276E-3</v>
      </c>
      <c r="I186" s="2">
        <v>4.6200250128742223E-3</v>
      </c>
      <c r="J186" s="2">
        <v>4.6021377672208902E-3</v>
      </c>
      <c r="K186">
        <v>4.6357615894039037E-3</v>
      </c>
      <c r="L186">
        <v>4.6201747631324308E-3</v>
      </c>
    </row>
    <row r="187" spans="1:12" x14ac:dyDescent="0.25">
      <c r="B187" s="2" t="s">
        <v>68</v>
      </c>
      <c r="C187" s="3">
        <v>45943</v>
      </c>
      <c r="D187" s="2">
        <v>0.49</v>
      </c>
      <c r="E187" s="2">
        <v>0.23</v>
      </c>
      <c r="F187" s="2">
        <v>0.28000000000000003</v>
      </c>
      <c r="G187">
        <v>7.5862068965553558E-2</v>
      </c>
      <c r="H187" s="2">
        <v>7.5861458840182236E-2</v>
      </c>
      <c r="I187" s="2">
        <v>7.5865200134741392E-2</v>
      </c>
      <c r="J187" s="2">
        <v>7.5809073444657926E-2</v>
      </c>
      <c r="K187">
        <v>7.5840474620962495E-2</v>
      </c>
      <c r="L187">
        <v>7.5882294131369349E-2</v>
      </c>
    </row>
    <row r="188" spans="1:12" x14ac:dyDescent="0.25">
      <c r="A188" t="s">
        <v>69</v>
      </c>
      <c r="B188" s="2" t="s">
        <v>70</v>
      </c>
      <c r="C188" s="3">
        <v>45873</v>
      </c>
      <c r="D188" s="2">
        <v>0.36</v>
      </c>
      <c r="E188" s="2">
        <v>0.19</v>
      </c>
      <c r="F188" s="2">
        <v>0.45</v>
      </c>
      <c r="G188">
        <v>-2.3297491039528165E-2</v>
      </c>
      <c r="H188" s="2">
        <v>-1.8021492791402818E-2</v>
      </c>
      <c r="I188" s="2">
        <v>-1.8017304008982243E-2</v>
      </c>
      <c r="J188" s="2">
        <v>-1.7934002869440396E-2</v>
      </c>
      <c r="K188">
        <v>-1.8005003347309794E-2</v>
      </c>
      <c r="L188">
        <v>-1.8016101003652935E-2</v>
      </c>
    </row>
    <row r="189" spans="1:12" x14ac:dyDescent="0.25">
      <c r="B189" s="2" t="s">
        <v>70</v>
      </c>
      <c r="C189" s="3">
        <v>45887</v>
      </c>
      <c r="D189" s="2">
        <v>0.39</v>
      </c>
      <c r="E189" s="2">
        <v>0.17</v>
      </c>
      <c r="F189" s="2">
        <v>0.44</v>
      </c>
      <c r="G189">
        <v>1.2844036697261267E-2</v>
      </c>
      <c r="H189" s="2">
        <v>1.2853331166280658E-2</v>
      </c>
      <c r="I189" s="2">
        <v>1.2846208686996458E-2</v>
      </c>
      <c r="J189" s="2">
        <v>1.2856099342585872E-2</v>
      </c>
      <c r="K189">
        <v>1.2845353426623629E-2</v>
      </c>
      <c r="L189">
        <v>1.2857091263678745E-2</v>
      </c>
    </row>
    <row r="190" spans="1:12" x14ac:dyDescent="0.25">
      <c r="B190" s="2" t="s">
        <v>70</v>
      </c>
      <c r="C190" s="3">
        <v>45901</v>
      </c>
      <c r="D190" s="2">
        <v>0.39</v>
      </c>
      <c r="E190" s="2">
        <v>0.19</v>
      </c>
      <c r="F190" s="2">
        <v>0.42</v>
      </c>
      <c r="G190">
        <v>-1.0869565217482969E-2</v>
      </c>
      <c r="H190" s="2">
        <v>-7.2477334117835579E-3</v>
      </c>
      <c r="I190" s="2">
        <v>-9.827879303017522E-3</v>
      </c>
      <c r="J190" s="2">
        <v>-3.4472811192845856E-2</v>
      </c>
      <c r="K190">
        <v>-7.2622927589627972E-3</v>
      </c>
      <c r="L190">
        <v>-1.9326083080762991E-2</v>
      </c>
    </row>
    <row r="191" spans="1:12" x14ac:dyDescent="0.25">
      <c r="B191" s="2" t="s">
        <v>70</v>
      </c>
      <c r="C191" s="3">
        <v>45915</v>
      </c>
      <c r="D191" s="2">
        <v>0.42</v>
      </c>
      <c r="E191" s="2">
        <v>0.19</v>
      </c>
      <c r="F191" s="2">
        <v>0.39</v>
      </c>
      <c r="G191">
        <v>-4.7619047618695766E-2</v>
      </c>
      <c r="H191" s="2">
        <v>-4.3803879310344906E-2</v>
      </c>
      <c r="I191" s="2">
        <v>-4.3792585439132913E-2</v>
      </c>
      <c r="J191" s="2">
        <v>-4.3770540782790551E-2</v>
      </c>
      <c r="K191">
        <v>-4.3785461941976092E-2</v>
      </c>
      <c r="L191">
        <v>-4.3813402174308354E-2</v>
      </c>
    </row>
    <row r="192" spans="1:12" x14ac:dyDescent="0.25">
      <c r="B192" s="2" t="s">
        <v>70</v>
      </c>
      <c r="C192" s="3">
        <v>45929</v>
      </c>
      <c r="D192" s="2">
        <v>0.36</v>
      </c>
      <c r="E192" s="2">
        <v>0.21</v>
      </c>
      <c r="F192" s="2">
        <v>0.43</v>
      </c>
      <c r="G192">
        <v>0</v>
      </c>
      <c r="H192" s="2">
        <v>-1.9017298698371025E-3</v>
      </c>
      <c r="I192" s="2">
        <v>-1.9076741804716273E-3</v>
      </c>
      <c r="J192" s="2">
        <v>-1.8747070770191827E-3</v>
      </c>
      <c r="K192">
        <v>-1.9032691446484939E-3</v>
      </c>
      <c r="L192">
        <v>-1.9012852688416965E-3</v>
      </c>
    </row>
    <row r="193" spans="1:12" x14ac:dyDescent="0.25">
      <c r="B193" s="2" t="s">
        <v>70</v>
      </c>
      <c r="C193" s="3">
        <v>45943</v>
      </c>
      <c r="D193" s="2">
        <v>0.4</v>
      </c>
      <c r="E193" s="2">
        <v>0.2</v>
      </c>
      <c r="F193" s="2">
        <v>0.4</v>
      </c>
      <c r="G193">
        <v>6.3461538461160857E-2</v>
      </c>
      <c r="H193" s="2">
        <v>5.7358192313663452E-2</v>
      </c>
      <c r="I193" s="2">
        <v>5.7367718361323858E-2</v>
      </c>
      <c r="J193" s="2">
        <v>5.7285960244169612E-2</v>
      </c>
      <c r="K193">
        <v>5.7356515236492794E-2</v>
      </c>
      <c r="L193">
        <v>5.7375800060956966E-2</v>
      </c>
    </row>
    <row r="194" spans="1:12" x14ac:dyDescent="0.25">
      <c r="A194" t="s">
        <v>71</v>
      </c>
      <c r="B194" s="2" t="s">
        <v>72</v>
      </c>
      <c r="C194" s="3">
        <v>45873</v>
      </c>
      <c r="D194" s="2">
        <v>0.63</v>
      </c>
      <c r="E194" s="2">
        <v>0.09</v>
      </c>
      <c r="F194" s="2">
        <v>0.28000000000000003</v>
      </c>
      <c r="G194">
        <v>-1.4760147599235668E-2</v>
      </c>
      <c r="H194" s="2">
        <v>0</v>
      </c>
      <c r="I194" s="2">
        <v>0</v>
      </c>
      <c r="J194" s="2">
        <v>0</v>
      </c>
      <c r="K194">
        <v>0</v>
      </c>
      <c r="L194">
        <v>0</v>
      </c>
    </row>
    <row r="195" spans="1:12" x14ac:dyDescent="0.25">
      <c r="B195" s="2" t="s">
        <v>72</v>
      </c>
      <c r="C195" s="3">
        <v>45887</v>
      </c>
      <c r="D195" s="2">
        <v>0.57999999999999996</v>
      </c>
      <c r="E195" s="2">
        <v>7.0000000000000007E-2</v>
      </c>
      <c r="F195" s="2">
        <v>0.35</v>
      </c>
      <c r="G195">
        <v>-1.4981273409759206E-2</v>
      </c>
      <c r="H195" s="2">
        <v>-9.2768780109909257E-3</v>
      </c>
      <c r="I195" s="2">
        <v>-9.2775068879194407E-3</v>
      </c>
      <c r="J195" s="2">
        <v>-9.2995350232488137E-3</v>
      </c>
      <c r="K195">
        <v>-9.2719890015026743E-3</v>
      </c>
      <c r="L195">
        <v>-9.2816723040669534E-3</v>
      </c>
    </row>
    <row r="196" spans="1:12" x14ac:dyDescent="0.25">
      <c r="B196" s="2" t="s">
        <v>72</v>
      </c>
      <c r="C196" s="3">
        <v>45901</v>
      </c>
      <c r="D196" s="2">
        <v>0.44</v>
      </c>
      <c r="E196" s="2">
        <v>0.16</v>
      </c>
      <c r="F196" s="2">
        <v>0.4</v>
      </c>
      <c r="G196">
        <v>-1.9011406816920452E-3</v>
      </c>
      <c r="H196" s="2">
        <v>-1.123551576344331E-2</v>
      </c>
      <c r="I196" s="2">
        <v>-8.0056694606680384E-3</v>
      </c>
      <c r="J196" s="2">
        <v>-3.3156699470098458E-2</v>
      </c>
      <c r="K196">
        <v>-1.1246651821731709E-2</v>
      </c>
      <c r="L196">
        <v>-1.2022264651629403E-2</v>
      </c>
    </row>
    <row r="197" spans="1:12" x14ac:dyDescent="0.25">
      <c r="B197" s="2" t="s">
        <v>72</v>
      </c>
      <c r="C197" s="3">
        <v>45915</v>
      </c>
      <c r="D197" s="2">
        <v>0.71</v>
      </c>
      <c r="E197" s="2">
        <v>0.05</v>
      </c>
      <c r="F197" s="2">
        <v>0.24</v>
      </c>
      <c r="G197">
        <v>-5.7142857177785314E-3</v>
      </c>
      <c r="H197" s="2">
        <v>-1.515421115065241E-2</v>
      </c>
      <c r="I197" s="2">
        <v>-1.5150246099119609E-2</v>
      </c>
      <c r="J197" s="2">
        <v>-1.5111180707798211E-2</v>
      </c>
      <c r="K197">
        <v>-1.5144344533838072E-2</v>
      </c>
      <c r="L197">
        <v>-1.5149281842152713E-2</v>
      </c>
    </row>
    <row r="198" spans="1:12" x14ac:dyDescent="0.25">
      <c r="B198" s="2" t="s">
        <v>72</v>
      </c>
      <c r="C198" s="3">
        <v>45929</v>
      </c>
      <c r="D198" s="2">
        <v>0.75</v>
      </c>
      <c r="E198" s="2">
        <v>0.04</v>
      </c>
      <c r="F198" s="2">
        <v>0.21</v>
      </c>
      <c r="G198">
        <v>-2.298850574559615E-2</v>
      </c>
      <c r="H198" s="2">
        <v>-9.6158671845986074E-3</v>
      </c>
      <c r="I198" s="2">
        <v>-9.6151922037900316E-3</v>
      </c>
      <c r="J198" s="2">
        <v>-9.6192066141982668E-3</v>
      </c>
      <c r="K198">
        <v>-9.6107640557425503E-3</v>
      </c>
      <c r="L198">
        <v>-9.6118668307447197E-3</v>
      </c>
    </row>
    <row r="199" spans="1:12" x14ac:dyDescent="0.25">
      <c r="B199" s="2" t="s">
        <v>72</v>
      </c>
      <c r="C199" s="3">
        <v>45943</v>
      </c>
      <c r="D199" s="2">
        <v>0.68</v>
      </c>
      <c r="E199" s="2">
        <v>7.0000000000000007E-2</v>
      </c>
      <c r="F199" s="2">
        <v>0.25</v>
      </c>
      <c r="G199">
        <v>2.7450980392958381E-2</v>
      </c>
      <c r="H199" s="2">
        <v>1.7477627218275379E-2</v>
      </c>
      <c r="I199" s="2">
        <v>1.7472344294590107E-2</v>
      </c>
      <c r="J199" s="2">
        <v>1.7418526248193972E-2</v>
      </c>
      <c r="K199">
        <v>1.7467248908296953E-2</v>
      </c>
      <c r="L199">
        <v>1.7479347169051106E-2</v>
      </c>
    </row>
    <row r="200" spans="1:12" x14ac:dyDescent="0.25">
      <c r="A200" t="s">
        <v>73</v>
      </c>
      <c r="B200" s="2" t="s">
        <v>74</v>
      </c>
      <c r="C200" s="3">
        <v>45873</v>
      </c>
      <c r="D200" s="2">
        <v>0.41</v>
      </c>
      <c r="E200" s="2">
        <v>0.1</v>
      </c>
      <c r="F200" s="2">
        <v>0.49</v>
      </c>
      <c r="G200">
        <v>-4.4624746452869755E-2</v>
      </c>
      <c r="H200" s="2">
        <v>-4.0811718126665314E-2</v>
      </c>
      <c r="I200" s="2">
        <v>-4.0810313075506338E-2</v>
      </c>
      <c r="J200" s="2">
        <v>-4.0837425691393217E-2</v>
      </c>
      <c r="K200">
        <v>-4.0848738961946525E-2</v>
      </c>
      <c r="L200">
        <v>-4.0833495114217265E-2</v>
      </c>
    </row>
    <row r="201" spans="1:12" x14ac:dyDescent="0.25">
      <c r="B201" s="2" t="s">
        <v>74</v>
      </c>
      <c r="C201" s="3">
        <v>45887</v>
      </c>
      <c r="D201" s="2">
        <v>0.45</v>
      </c>
      <c r="E201" s="2">
        <v>0.28999999999999998</v>
      </c>
      <c r="F201" s="2">
        <v>0.26</v>
      </c>
      <c r="G201">
        <v>-4.2462845008762524E-2</v>
      </c>
      <c r="H201" s="2">
        <v>-2.1281938602548837E-2</v>
      </c>
      <c r="I201" s="2">
        <v>-2.1273327701405498E-2</v>
      </c>
      <c r="J201" s="2">
        <v>-2.1288062516841722E-2</v>
      </c>
      <c r="K201">
        <v>-2.1261094184660229E-2</v>
      </c>
      <c r="L201">
        <v>-2.125219268654693E-2</v>
      </c>
    </row>
    <row r="202" spans="1:12" x14ac:dyDescent="0.25">
      <c r="B202" s="2" t="s">
        <v>74</v>
      </c>
      <c r="C202" s="3">
        <v>45901</v>
      </c>
      <c r="D202" s="2">
        <v>0.5</v>
      </c>
      <c r="E202" s="2">
        <v>0.18</v>
      </c>
      <c r="F202" s="2">
        <v>0.32</v>
      </c>
      <c r="G202">
        <v>-3.9911308202172001E-2</v>
      </c>
      <c r="H202" s="2">
        <v>-4.7819114817190443E-2</v>
      </c>
      <c r="I202" s="2">
        <v>-3.5467671060891395E-2</v>
      </c>
      <c r="J202" s="2">
        <v>-5.8645374449339316E-2</v>
      </c>
      <c r="K202">
        <v>-4.7776950666576432E-2</v>
      </c>
      <c r="L202">
        <v>-6.6106017784517884E-2</v>
      </c>
    </row>
    <row r="203" spans="1:12" x14ac:dyDescent="0.25">
      <c r="B203" s="2" t="s">
        <v>74</v>
      </c>
      <c r="C203" s="3">
        <v>45915</v>
      </c>
      <c r="D203" s="2">
        <v>0.61</v>
      </c>
      <c r="E203" s="2">
        <v>0.18</v>
      </c>
      <c r="F203" s="2">
        <v>0.21</v>
      </c>
      <c r="G203">
        <v>-7.3903002311235186E-2</v>
      </c>
      <c r="H203" s="2">
        <v>-7.5347771902051261E-2</v>
      </c>
      <c r="I203" s="2">
        <v>-7.5349821021802779E-2</v>
      </c>
      <c r="J203" s="2">
        <v>-6.5223749634395992E-2</v>
      </c>
      <c r="K203">
        <v>-7.5403311775993243E-2</v>
      </c>
      <c r="L203">
        <v>-7.5361677000295307E-2</v>
      </c>
    </row>
    <row r="204" spans="1:12" x14ac:dyDescent="0.25">
      <c r="B204" s="2" t="s">
        <v>74</v>
      </c>
      <c r="C204" s="3">
        <v>45929</v>
      </c>
      <c r="D204" s="2">
        <v>0.56999999999999995</v>
      </c>
      <c r="E204" s="2">
        <v>0.17</v>
      </c>
      <c r="F204" s="2">
        <v>0.26</v>
      </c>
      <c r="G204">
        <v>-1.246882792960647E-2</v>
      </c>
      <c r="H204" s="2">
        <v>-2.4679440477925179E-2</v>
      </c>
      <c r="I204" s="2">
        <v>-2.4688099385876905E-2</v>
      </c>
      <c r="J204" s="2">
        <v>-2.4718397997496928E-2</v>
      </c>
      <c r="K204">
        <v>-2.4673328209069961E-2</v>
      </c>
      <c r="L204">
        <v>-2.466671988504824E-2</v>
      </c>
    </row>
    <row r="205" spans="1:12" x14ac:dyDescent="0.25">
      <c r="B205" s="2" t="s">
        <v>74</v>
      </c>
      <c r="C205" s="3">
        <v>45943</v>
      </c>
      <c r="D205" s="2">
        <v>0.61</v>
      </c>
      <c r="E205" s="2">
        <v>0.14000000000000001</v>
      </c>
      <c r="F205" s="2">
        <v>0.25</v>
      </c>
      <c r="G205">
        <v>4.0404040402176225E-2</v>
      </c>
      <c r="H205" s="2">
        <v>4.302601355767622E-2</v>
      </c>
      <c r="I205" s="2">
        <v>4.3048388842781352E-2</v>
      </c>
      <c r="J205" s="2">
        <v>4.2990054539621507E-2</v>
      </c>
      <c r="K205">
        <v>4.3029395539443599E-2</v>
      </c>
      <c r="L205">
        <v>4.3051235881486315E-2</v>
      </c>
    </row>
    <row r="206" spans="1:12" x14ac:dyDescent="0.25">
      <c r="A206" t="s">
        <v>75</v>
      </c>
      <c r="B206" s="2" t="s">
        <v>76</v>
      </c>
      <c r="C206" s="3">
        <v>45873</v>
      </c>
      <c r="D206" s="2">
        <v>0.78</v>
      </c>
      <c r="E206" s="2">
        <v>0.04</v>
      </c>
      <c r="F206" s="2">
        <v>0.18</v>
      </c>
      <c r="G206">
        <v>0.29276226619365042</v>
      </c>
      <c r="H206" s="2">
        <v>0.25206074059411526</v>
      </c>
      <c r="I206" s="2">
        <v>0.25205459288395332</v>
      </c>
      <c r="J206" s="2">
        <v>0.25204416886934605</v>
      </c>
      <c r="K206">
        <v>0.25205725400229406</v>
      </c>
      <c r="L206">
        <v>0.25206500026993461</v>
      </c>
    </row>
    <row r="207" spans="1:12" x14ac:dyDescent="0.25">
      <c r="B207" s="2" t="s">
        <v>76</v>
      </c>
      <c r="C207" s="3">
        <v>45887</v>
      </c>
      <c r="D207" s="2">
        <v>0.76</v>
      </c>
      <c r="E207" s="2">
        <v>0.05</v>
      </c>
      <c r="F207" s="2">
        <v>0.19</v>
      </c>
      <c r="G207">
        <v>4.0050325017369062E-2</v>
      </c>
      <c r="H207" s="2">
        <v>5.9291170973807122E-2</v>
      </c>
      <c r="I207" s="2">
        <v>-2.0906537783293062E-2</v>
      </c>
      <c r="J207" s="2">
        <v>-3.9618025412358773E-2</v>
      </c>
      <c r="K207">
        <v>5.9310894244174572E-2</v>
      </c>
      <c r="L207">
        <v>-1.2116246981717744E-2</v>
      </c>
    </row>
    <row r="208" spans="1:12" x14ac:dyDescent="0.25">
      <c r="B208" s="2" t="s">
        <v>76</v>
      </c>
      <c r="C208" s="3">
        <v>45901</v>
      </c>
      <c r="D208" s="2">
        <v>0.81</v>
      </c>
      <c r="E208" s="2">
        <v>0.05</v>
      </c>
      <c r="F208" s="2">
        <v>0.14000000000000001</v>
      </c>
      <c r="G208">
        <v>0.37772177419181974</v>
      </c>
      <c r="H208" s="2">
        <v>0.34094131442886838</v>
      </c>
      <c r="I208" s="2">
        <v>0.34094684108359075</v>
      </c>
      <c r="J208" s="2">
        <v>0.34094831128276754</v>
      </c>
      <c r="K208">
        <v>0.34094156576671419</v>
      </c>
      <c r="L208">
        <v>0.3409715857011914</v>
      </c>
    </row>
    <row r="209" spans="1:12" x14ac:dyDescent="0.25">
      <c r="B209" s="2" t="s">
        <v>76</v>
      </c>
      <c r="C209" s="3">
        <v>45915</v>
      </c>
      <c r="D209" s="2">
        <v>0.84</v>
      </c>
      <c r="E209" s="2">
        <v>0.04</v>
      </c>
      <c r="F209" s="2">
        <v>0.12</v>
      </c>
      <c r="G209">
        <v>0.20728762713138635</v>
      </c>
      <c r="H209" s="2">
        <v>0.17607542909839652</v>
      </c>
      <c r="I209" s="2">
        <v>0.17607700726295891</v>
      </c>
      <c r="J209" s="2">
        <v>0.17607856354945464</v>
      </c>
      <c r="K209">
        <v>0.17607470345755866</v>
      </c>
      <c r="L209">
        <v>0.17608957458581531</v>
      </c>
    </row>
    <row r="210" spans="1:12" x14ac:dyDescent="0.25">
      <c r="B210" s="2" t="s">
        <v>76</v>
      </c>
      <c r="C210" s="3">
        <v>45929</v>
      </c>
      <c r="D210" s="2">
        <v>0.73</v>
      </c>
      <c r="E210" s="2">
        <v>0.06</v>
      </c>
      <c r="F210" s="2">
        <v>0.21</v>
      </c>
      <c r="G210">
        <v>-0.14412121212203066</v>
      </c>
      <c r="H210" s="2">
        <v>-6.9713049650184197E-2</v>
      </c>
      <c r="I210" s="2">
        <v>-6.9716388554025718E-2</v>
      </c>
      <c r="J210" s="2">
        <v>-6.971927310623327E-2</v>
      </c>
      <c r="K210">
        <v>-6.9718645684310868E-2</v>
      </c>
      <c r="L210">
        <v>-6.9714665264439715E-2</v>
      </c>
    </row>
    <row r="211" spans="1:12" x14ac:dyDescent="0.25">
      <c r="B211" s="2" t="s">
        <v>76</v>
      </c>
      <c r="C211" s="3">
        <v>45943</v>
      </c>
      <c r="D211" s="2">
        <v>0.8</v>
      </c>
      <c r="E211" s="2">
        <v>0.08</v>
      </c>
      <c r="F211" s="2">
        <v>0.12</v>
      </c>
      <c r="G211">
        <v>0.16838974649594818</v>
      </c>
      <c r="H211" s="2">
        <v>0.12612445684556245</v>
      </c>
      <c r="I211" s="2">
        <v>0.12612477436310138</v>
      </c>
      <c r="J211" s="2">
        <v>0.18024729391007233</v>
      </c>
      <c r="K211">
        <v>0.12612774246462982</v>
      </c>
      <c r="L211">
        <v>0.12610816921520787</v>
      </c>
    </row>
    <row r="212" spans="1:12" x14ac:dyDescent="0.25">
      <c r="A212" t="s">
        <v>77</v>
      </c>
      <c r="B212" s="2" t="s">
        <v>78</v>
      </c>
      <c r="C212" s="3">
        <v>45873</v>
      </c>
      <c r="D212" s="2">
        <v>0.71</v>
      </c>
      <c r="E212" s="2">
        <v>0.09</v>
      </c>
      <c r="F212" s="2">
        <v>0.2</v>
      </c>
      <c r="G212">
        <v>8.52424261346236E-2</v>
      </c>
      <c r="H212" s="2">
        <v>7.9808103929553217E-2</v>
      </c>
      <c r="I212" s="2">
        <v>7.9808212821900953E-2</v>
      </c>
      <c r="J212" s="2">
        <v>-3.2454861500504716E-2</v>
      </c>
      <c r="K212">
        <v>7.9800205670633118E-2</v>
      </c>
      <c r="L212">
        <v>7.9793626123599901E-2</v>
      </c>
    </row>
    <row r="213" spans="1:12" x14ac:dyDescent="0.25">
      <c r="B213" s="2" t="s">
        <v>78</v>
      </c>
      <c r="C213" s="3">
        <v>45887</v>
      </c>
      <c r="D213" s="2">
        <v>0.71</v>
      </c>
      <c r="E213" s="2">
        <v>0.06</v>
      </c>
      <c r="F213" s="2">
        <v>0.23</v>
      </c>
      <c r="G213">
        <v>0.15028890850974932</v>
      </c>
      <c r="H213" s="2">
        <v>5.7055610708657362E-2</v>
      </c>
      <c r="I213" s="2">
        <v>5.7055551576786281E-2</v>
      </c>
      <c r="J213" s="2">
        <v>7.3114191663962255E-2</v>
      </c>
      <c r="K213">
        <v>5.7059671845664003E-2</v>
      </c>
      <c r="L213">
        <v>5.7055096377854622E-2</v>
      </c>
    </row>
    <row r="214" spans="1:12" x14ac:dyDescent="0.25">
      <c r="B214" s="2" t="s">
        <v>78</v>
      </c>
      <c r="C214" s="3">
        <v>45901</v>
      </c>
      <c r="D214" s="2">
        <v>0.6</v>
      </c>
      <c r="E214" s="2">
        <v>0.14000000000000001</v>
      </c>
      <c r="F214" s="2">
        <v>0.26</v>
      </c>
      <c r="G214">
        <v>-4.1046782577872351E-2</v>
      </c>
      <c r="H214" s="2">
        <v>2.1005811700890952E-2</v>
      </c>
      <c r="I214" s="2">
        <v>2.1003184353756851E-2</v>
      </c>
      <c r="J214" s="2">
        <v>2.0997148535384074E-2</v>
      </c>
      <c r="K214">
        <v>2.1004942339374059E-2</v>
      </c>
      <c r="L214">
        <v>2.1014655511258376E-2</v>
      </c>
    </row>
    <row r="215" spans="1:12" x14ac:dyDescent="0.25">
      <c r="B215" s="2" t="s">
        <v>78</v>
      </c>
      <c r="C215" s="3">
        <v>45915</v>
      </c>
      <c r="D215" s="2">
        <v>0.56000000000000005</v>
      </c>
      <c r="E215" s="2">
        <v>0.21</v>
      </c>
      <c r="F215" s="2">
        <v>0.23</v>
      </c>
      <c r="G215">
        <v>-1.6168224298178831E-2</v>
      </c>
      <c r="H215" s="2">
        <v>-2.4177145251091325E-2</v>
      </c>
      <c r="I215" s="2">
        <v>-2.4176602004025823E-2</v>
      </c>
      <c r="J215" s="2">
        <v>-8.6323628977657309E-3</v>
      </c>
      <c r="K215">
        <v>-2.4178096006454295E-2</v>
      </c>
      <c r="L215">
        <v>-2.4184345482793163E-2</v>
      </c>
    </row>
    <row r="216" spans="1:12" x14ac:dyDescent="0.25">
      <c r="B216" s="2" t="s">
        <v>78</v>
      </c>
      <c r="C216" s="3">
        <v>45929</v>
      </c>
      <c r="D216" s="2">
        <v>0.6</v>
      </c>
      <c r="E216" s="2">
        <v>0.11</v>
      </c>
      <c r="F216" s="2">
        <v>0.28999999999999998</v>
      </c>
      <c r="G216">
        <v>-4.2274853019685935E-2</v>
      </c>
      <c r="H216" s="2">
        <v>2.2380676833479562E-2</v>
      </c>
      <c r="I216" s="2">
        <v>2.238190225768431E-2</v>
      </c>
      <c r="J216" s="2">
        <v>2.2387741164418596E-2</v>
      </c>
      <c r="K216">
        <v>2.2387288464022766E-2</v>
      </c>
      <c r="L216">
        <v>2.2388480288556379E-2</v>
      </c>
    </row>
    <row r="217" spans="1:12" x14ac:dyDescent="0.25">
      <c r="B217" s="2" t="s">
        <v>78</v>
      </c>
      <c r="C217" s="3">
        <v>45943</v>
      </c>
      <c r="D217" s="2">
        <v>0.62</v>
      </c>
      <c r="E217" s="2">
        <v>0.05</v>
      </c>
      <c r="F217" s="2">
        <v>0.33</v>
      </c>
      <c r="G217">
        <v>4.0910458239277414E-2</v>
      </c>
      <c r="H217" s="2">
        <v>-2.6503809732466564E-3</v>
      </c>
      <c r="I217" s="2">
        <v>-2.6516847953812436E-3</v>
      </c>
      <c r="J217" s="2">
        <v>-2.6510802630205013E-3</v>
      </c>
      <c r="K217">
        <v>-2.6534248133125997E-3</v>
      </c>
      <c r="L217">
        <v>-2.6597577277676387E-3</v>
      </c>
    </row>
    <row r="218" spans="1:12" x14ac:dyDescent="0.25">
      <c r="A218" t="s">
        <v>79</v>
      </c>
      <c r="B218" s="2" t="s">
        <v>80</v>
      </c>
      <c r="C218" s="3">
        <v>45873</v>
      </c>
      <c r="D218" s="2">
        <v>0.87</v>
      </c>
      <c r="E218" s="2">
        <v>0.02</v>
      </c>
      <c r="F218" s="2">
        <v>0.11</v>
      </c>
      <c r="G218">
        <v>0.1630669546446423</v>
      </c>
      <c r="H218" s="2">
        <v>0.23718964606444806</v>
      </c>
      <c r="I218" s="2">
        <v>0.23719747878943404</v>
      </c>
      <c r="J218" s="2">
        <v>0.23718716954529426</v>
      </c>
      <c r="K218">
        <v>0.2371659829249361</v>
      </c>
      <c r="L218">
        <v>0.23728250027706979</v>
      </c>
    </row>
    <row r="219" spans="1:12" x14ac:dyDescent="0.25">
      <c r="B219" s="2" t="s">
        <v>80</v>
      </c>
      <c r="C219" s="3">
        <v>45887</v>
      </c>
      <c r="D219" s="2">
        <v>0.78</v>
      </c>
      <c r="E219" s="2">
        <v>0.04</v>
      </c>
      <c r="F219" s="2">
        <v>0.18</v>
      </c>
      <c r="G219">
        <v>0.25626740946691989</v>
      </c>
      <c r="H219" s="2">
        <v>0.11251352120694554</v>
      </c>
      <c r="I219" s="2">
        <v>2.1071940161134492E-2</v>
      </c>
      <c r="J219" s="2">
        <v>4.2023989287444073E-2</v>
      </c>
      <c r="K219">
        <v>0.11247535400609444</v>
      </c>
      <c r="L219">
        <v>0.15549982085274092</v>
      </c>
    </row>
    <row r="220" spans="1:12" x14ac:dyDescent="0.25">
      <c r="B220" s="2" t="s">
        <v>80</v>
      </c>
      <c r="C220" s="3">
        <v>45901</v>
      </c>
      <c r="D220" s="2">
        <v>0.75</v>
      </c>
      <c r="E220" s="2">
        <v>0.09</v>
      </c>
      <c r="F220" s="2">
        <v>0.16</v>
      </c>
      <c r="G220">
        <v>-1.3303769398994034E-2</v>
      </c>
      <c r="H220" s="2">
        <v>8.5761950330837694E-2</v>
      </c>
      <c r="I220" s="2">
        <v>8.5760353451996993E-2</v>
      </c>
      <c r="J220" s="2">
        <v>8.5743971127030152E-2</v>
      </c>
      <c r="K220">
        <v>8.5797148151131902E-2</v>
      </c>
      <c r="L220">
        <v>8.5813953488372105E-2</v>
      </c>
    </row>
    <row r="221" spans="1:12" x14ac:dyDescent="0.25">
      <c r="B221" s="2" t="s">
        <v>80</v>
      </c>
      <c r="C221" s="3">
        <v>45915</v>
      </c>
      <c r="D221" s="2">
        <v>0.59</v>
      </c>
      <c r="E221" s="2">
        <v>0.16</v>
      </c>
      <c r="F221" s="2">
        <v>0.25</v>
      </c>
      <c r="G221">
        <v>0.10411985018487929</v>
      </c>
      <c r="H221" s="2">
        <v>2.8316648756669265E-2</v>
      </c>
      <c r="I221" s="2">
        <v>2.8314682943370698E-2</v>
      </c>
      <c r="J221" s="2">
        <v>2.8330395366406403E-2</v>
      </c>
      <c r="K221">
        <v>2.8268289063659146E-2</v>
      </c>
      <c r="L221">
        <v>2.827157849646595E-2</v>
      </c>
    </row>
    <row r="222" spans="1:12" x14ac:dyDescent="0.25">
      <c r="B222" s="2" t="s">
        <v>80</v>
      </c>
      <c r="C222" s="3">
        <v>45929</v>
      </c>
      <c r="D222" s="2">
        <v>0.72</v>
      </c>
      <c r="E222" s="2">
        <v>0.03</v>
      </c>
      <c r="F222" s="2">
        <v>0.25</v>
      </c>
      <c r="G222">
        <v>0.16960651289022405</v>
      </c>
      <c r="H222" s="2">
        <v>0.21159134659455486</v>
      </c>
      <c r="I222" s="2">
        <v>0.21159280211501827</v>
      </c>
      <c r="J222" s="2">
        <v>0.21158320068568628</v>
      </c>
      <c r="K222">
        <v>0.211631430839166</v>
      </c>
      <c r="L222">
        <v>0.21162257862945233</v>
      </c>
    </row>
    <row r="223" spans="1:12" x14ac:dyDescent="0.25">
      <c r="B223" s="2" t="s">
        <v>80</v>
      </c>
      <c r="C223" s="3">
        <v>45943</v>
      </c>
      <c r="D223" s="2">
        <v>0.62</v>
      </c>
      <c r="E223" s="2">
        <v>0.14000000000000001</v>
      </c>
      <c r="F223" s="2">
        <v>0.24</v>
      </c>
      <c r="G223">
        <v>-2.6682134570891497E-2</v>
      </c>
      <c r="H223" s="2">
        <v>3.5900054852559759E-3</v>
      </c>
      <c r="I223" s="2">
        <v>3.5898470678224366E-3</v>
      </c>
      <c r="J223" s="2">
        <v>3.577564426478119E-3</v>
      </c>
      <c r="K223">
        <v>3.5731300619342575E-3</v>
      </c>
      <c r="L223">
        <v>3.6101083032490816E-3</v>
      </c>
    </row>
    <row r="224" spans="1:12" x14ac:dyDescent="0.25">
      <c r="A224" t="s">
        <v>81</v>
      </c>
      <c r="B224" s="2" t="s">
        <v>82</v>
      </c>
      <c r="C224" s="3">
        <v>45873</v>
      </c>
      <c r="D224" s="2">
        <v>0.7</v>
      </c>
      <c r="E224" s="2">
        <v>0.12</v>
      </c>
      <c r="F224" s="2">
        <v>0.18</v>
      </c>
      <c r="G224">
        <v>5.3097345133596152E-3</v>
      </c>
      <c r="H224" s="2">
        <v>-1.7575974153837672E-3</v>
      </c>
      <c r="I224" s="2">
        <v>-1.7582532934445831E-3</v>
      </c>
      <c r="J224" s="2">
        <v>-1.6597510373444787E-3</v>
      </c>
      <c r="K224">
        <v>-1.7825311942958276E-3</v>
      </c>
      <c r="L224">
        <v>-1.751313485113764E-3</v>
      </c>
    </row>
    <row r="225" spans="1:12" x14ac:dyDescent="0.25">
      <c r="B225" s="2" t="s">
        <v>82</v>
      </c>
      <c r="C225" s="3">
        <v>45887</v>
      </c>
      <c r="D225" s="2">
        <v>0.68</v>
      </c>
      <c r="E225" s="2">
        <v>0.12</v>
      </c>
      <c r="F225" s="2">
        <v>0.2</v>
      </c>
      <c r="G225">
        <v>3.521126760619634E-3</v>
      </c>
      <c r="H225" s="2">
        <v>5.2820760092929658E-3</v>
      </c>
      <c r="I225" s="2">
        <v>0.26063382318147166</v>
      </c>
      <c r="J225" s="2">
        <v>-6.4125400783754428E-3</v>
      </c>
      <c r="K225">
        <v>5.3571428571428867E-3</v>
      </c>
      <c r="L225">
        <v>4.429824561403508E-2</v>
      </c>
    </row>
    <row r="226" spans="1:12" x14ac:dyDescent="0.25">
      <c r="B226" s="2" t="s">
        <v>82</v>
      </c>
      <c r="C226" s="3">
        <v>45901</v>
      </c>
      <c r="D226" s="2">
        <v>0.7</v>
      </c>
      <c r="E226" s="2">
        <v>0.16</v>
      </c>
      <c r="F226" s="2">
        <v>0.14000000000000001</v>
      </c>
      <c r="G226">
        <v>-3.2119079967172622E-2</v>
      </c>
      <c r="H226" s="2">
        <v>-3.206372046714779E-2</v>
      </c>
      <c r="I226" s="2">
        <v>-3.2062477517165261E-2</v>
      </c>
      <c r="J226" s="2">
        <v>-1.9481295565913687E-2</v>
      </c>
      <c r="K226">
        <v>-3.1971580817051558E-2</v>
      </c>
      <c r="L226">
        <v>-3.1919361612767726E-2</v>
      </c>
    </row>
    <row r="227" spans="1:12" x14ac:dyDescent="0.25">
      <c r="B227" s="2" t="s">
        <v>82</v>
      </c>
      <c r="C227" s="3">
        <v>45915</v>
      </c>
      <c r="D227" s="2">
        <v>0.78</v>
      </c>
      <c r="E227" s="2">
        <v>0.09</v>
      </c>
      <c r="F227" s="2">
        <v>0.13</v>
      </c>
      <c r="G227">
        <v>-3.8043478261495171E-2</v>
      </c>
      <c r="H227" s="2">
        <v>-3.2555241048434817E-2</v>
      </c>
      <c r="I227" s="2">
        <v>-3.2553605187894102E-2</v>
      </c>
      <c r="J227" s="2">
        <v>-3.2545099951243363E-2</v>
      </c>
      <c r="K227">
        <v>-3.2568807339449522E-2</v>
      </c>
      <c r="L227">
        <v>-3.253796095444688E-2</v>
      </c>
    </row>
    <row r="228" spans="1:12" x14ac:dyDescent="0.25">
      <c r="B228" s="2" t="s">
        <v>82</v>
      </c>
      <c r="C228" s="3">
        <v>45929</v>
      </c>
      <c r="D228" s="2">
        <v>0.74</v>
      </c>
      <c r="E228" s="2">
        <v>0.12</v>
      </c>
      <c r="F228" s="2">
        <v>0.14000000000000001</v>
      </c>
      <c r="G228">
        <v>9.4161958570348689E-3</v>
      </c>
      <c r="H228" s="2">
        <v>3.7406967629779338E-3</v>
      </c>
      <c r="I228" s="2">
        <v>3.7412523174051577E-3</v>
      </c>
      <c r="J228" s="2">
        <v>3.7797656545294229E-3</v>
      </c>
      <c r="K228">
        <v>3.3191085822665061E-3</v>
      </c>
      <c r="L228">
        <v>3.5874439461883192E-3</v>
      </c>
    </row>
    <row r="229" spans="1:12" x14ac:dyDescent="0.25">
      <c r="B229" s="2" t="s">
        <v>82</v>
      </c>
      <c r="C229" s="3">
        <v>45943</v>
      </c>
      <c r="D229" s="2">
        <v>0.72</v>
      </c>
      <c r="E229" s="2">
        <v>0.14000000000000001</v>
      </c>
      <c r="F229" s="2">
        <v>0.14000000000000001</v>
      </c>
      <c r="G229">
        <v>3.3582089552807531E-2</v>
      </c>
      <c r="H229" s="2">
        <v>3.1661963119031931E-2</v>
      </c>
      <c r="I229" s="2">
        <v>3.1654380972982496E-2</v>
      </c>
      <c r="J229" s="2">
        <v>3.1630475712313297E-2</v>
      </c>
      <c r="K229">
        <v>3.1663516068052851E-2</v>
      </c>
      <c r="L229">
        <v>3.1724754244861465E-2</v>
      </c>
    </row>
    <row r="230" spans="1:12" x14ac:dyDescent="0.25">
      <c r="A230" t="s">
        <v>83</v>
      </c>
      <c r="B230" s="2" t="s">
        <v>84</v>
      </c>
      <c r="C230" s="3">
        <v>45873</v>
      </c>
      <c r="D230" s="2">
        <v>0.62</v>
      </c>
      <c r="E230" s="2">
        <v>0.14000000000000001</v>
      </c>
      <c r="F230" s="2">
        <v>0.24</v>
      </c>
      <c r="G230">
        <v>3.6871693121892098E-2</v>
      </c>
      <c r="H230" s="2">
        <v>3.397869156068254E-2</v>
      </c>
      <c r="I230" s="2">
        <v>0.12590525754773171</v>
      </c>
      <c r="J230" s="2">
        <v>-4.9584293298607736E-3</v>
      </c>
      <c r="K230">
        <v>3.3890214797135908E-2</v>
      </c>
      <c r="L230">
        <v>5.1989489489489386E-2</v>
      </c>
    </row>
    <row r="231" spans="1:12" x14ac:dyDescent="0.25">
      <c r="B231" s="2" t="s">
        <v>84</v>
      </c>
      <c r="C231" s="3">
        <v>45887</v>
      </c>
      <c r="D231" s="2">
        <v>0.76</v>
      </c>
      <c r="E231" s="2">
        <v>0.06</v>
      </c>
      <c r="F231" s="2">
        <v>0.18</v>
      </c>
      <c r="G231">
        <v>0.10062191038614365</v>
      </c>
      <c r="H231" s="2">
        <v>8.905544649997689E-2</v>
      </c>
      <c r="I231" s="2">
        <v>8.9065240999081294E-2</v>
      </c>
      <c r="J231" s="2">
        <v>8.9042130165601391E-2</v>
      </c>
      <c r="K231">
        <v>8.910433979686061E-2</v>
      </c>
      <c r="L231">
        <v>8.9027653880463964E-2</v>
      </c>
    </row>
    <row r="232" spans="1:12" x14ac:dyDescent="0.25">
      <c r="B232" s="2" t="s">
        <v>84</v>
      </c>
      <c r="C232" s="3">
        <v>45901</v>
      </c>
      <c r="D232" s="2">
        <v>0.69</v>
      </c>
      <c r="E232" s="2">
        <v>0.09</v>
      </c>
      <c r="F232" s="2">
        <v>0.22</v>
      </c>
      <c r="G232">
        <v>-1.8545349177443566E-2</v>
      </c>
      <c r="H232" s="2">
        <v>-1.1804118393183223E-2</v>
      </c>
      <c r="I232" s="2">
        <v>-1.1807238773151795E-2</v>
      </c>
      <c r="J232" s="2">
        <v>-1.1785912368275132E-2</v>
      </c>
      <c r="K232">
        <v>-1.178465451462486E-2</v>
      </c>
      <c r="L232">
        <v>-1.1795543905635805E-2</v>
      </c>
    </row>
    <row r="233" spans="1:12" x14ac:dyDescent="0.25">
      <c r="B233" s="2" t="s">
        <v>84</v>
      </c>
      <c r="C233" s="3">
        <v>45915</v>
      </c>
      <c r="D233" s="2">
        <v>0.84</v>
      </c>
      <c r="E233" s="2">
        <v>0.02</v>
      </c>
      <c r="F233" s="2">
        <v>0.14000000000000001</v>
      </c>
      <c r="G233">
        <v>-2.6572187777766907E-2</v>
      </c>
      <c r="H233" s="2">
        <v>-5.5758223401380681E-2</v>
      </c>
      <c r="I233" s="2">
        <v>-5.5762254914643823E-2</v>
      </c>
      <c r="J233" s="2">
        <v>-5.5750432627098917E-2</v>
      </c>
      <c r="K233">
        <v>-5.5765271105010249E-2</v>
      </c>
      <c r="L233">
        <v>-5.5702917771883229E-2</v>
      </c>
    </row>
    <row r="234" spans="1:12" x14ac:dyDescent="0.25">
      <c r="B234" s="2" t="s">
        <v>84</v>
      </c>
      <c r="C234" s="3">
        <v>45929</v>
      </c>
      <c r="D234" s="2">
        <v>0.84</v>
      </c>
      <c r="E234" s="2">
        <v>0.05</v>
      </c>
      <c r="F234" s="2">
        <v>0.11</v>
      </c>
      <c r="G234">
        <v>6.2177737353576491E-3</v>
      </c>
      <c r="H234" s="2">
        <v>5.8114199116742191E-2</v>
      </c>
      <c r="I234" s="2">
        <v>5.8118187348265286E-2</v>
      </c>
      <c r="J234" s="2">
        <v>5.8100946059735592E-2</v>
      </c>
      <c r="K234">
        <v>5.8059240414319521E-2</v>
      </c>
      <c r="L234">
        <v>5.811095505617981E-2</v>
      </c>
    </row>
    <row r="235" spans="1:12" x14ac:dyDescent="0.25">
      <c r="B235" s="2" t="s">
        <v>84</v>
      </c>
      <c r="C235" s="3">
        <v>45943</v>
      </c>
      <c r="D235" s="2">
        <v>0.73</v>
      </c>
      <c r="E235" s="2">
        <v>0.12</v>
      </c>
      <c r="F235" s="2">
        <v>0.15</v>
      </c>
      <c r="G235">
        <v>-7.3850791256587431E-2</v>
      </c>
      <c r="H235" s="2">
        <v>-9.2719628236335477E-2</v>
      </c>
      <c r="I235" s="2">
        <v>-9.2724184008535507E-2</v>
      </c>
      <c r="J235" s="2">
        <v>-9.273476266267211E-2</v>
      </c>
      <c r="K235">
        <v>-9.265779304422507E-2</v>
      </c>
      <c r="L235">
        <v>-9.2749294839887267E-2</v>
      </c>
    </row>
    <row r="236" spans="1:12" x14ac:dyDescent="0.25">
      <c r="A236" t="s">
        <v>85</v>
      </c>
      <c r="B236" s="2" t="s">
        <v>86</v>
      </c>
      <c r="C236" s="3">
        <v>45873</v>
      </c>
      <c r="D236" s="2">
        <v>0.67</v>
      </c>
      <c r="E236" s="2">
        <v>0.14000000000000001</v>
      </c>
      <c r="F236" s="2">
        <v>0.19</v>
      </c>
      <c r="G236">
        <v>5.3510063819342146E-2</v>
      </c>
      <c r="H236" s="2">
        <v>3.8780494599890435E-2</v>
      </c>
      <c r="I236" s="2">
        <v>3.8780609695152408E-2</v>
      </c>
      <c r="J236" s="2">
        <v>3.8820927188191148E-2</v>
      </c>
      <c r="K236">
        <v>3.8788156988753632E-2</v>
      </c>
      <c r="L236">
        <v>3.8758992805755316E-2</v>
      </c>
    </row>
    <row r="237" spans="1:12" x14ac:dyDescent="0.25">
      <c r="B237" s="2" t="s">
        <v>86</v>
      </c>
      <c r="C237" s="3">
        <v>45887</v>
      </c>
      <c r="D237" s="2">
        <v>0.7</v>
      </c>
      <c r="E237" s="2">
        <v>0.12</v>
      </c>
      <c r="F237" s="2">
        <v>0.18</v>
      </c>
      <c r="G237">
        <v>-4.5433364398881591E-2</v>
      </c>
      <c r="H237" s="2">
        <v>-5.6767895296757033E-3</v>
      </c>
      <c r="I237" s="2">
        <v>4.4279803714038161E-2</v>
      </c>
      <c r="J237" s="2">
        <v>1.1602137922044039E-2</v>
      </c>
      <c r="K237">
        <v>-5.656208572691084E-3</v>
      </c>
      <c r="L237">
        <v>-3.5148471993766743E-2</v>
      </c>
    </row>
    <row r="238" spans="1:12" x14ac:dyDescent="0.25">
      <c r="B238" s="2" t="s">
        <v>86</v>
      </c>
      <c r="C238" s="3">
        <v>45901</v>
      </c>
      <c r="D238" s="2">
        <v>0.67</v>
      </c>
      <c r="E238" s="2">
        <v>0.13</v>
      </c>
      <c r="F238" s="2">
        <v>0.2</v>
      </c>
      <c r="G238">
        <v>-5.0768855259946302E-2</v>
      </c>
      <c r="H238" s="2">
        <v>-6.7961950658131376E-2</v>
      </c>
      <c r="I238" s="2">
        <v>-6.7970736741237464E-2</v>
      </c>
      <c r="J238" s="2">
        <v>-6.7955326460481066E-2</v>
      </c>
      <c r="K238">
        <v>-6.7949515598613369E-2</v>
      </c>
      <c r="L238">
        <v>-6.7967698519515465E-2</v>
      </c>
    </row>
    <row r="239" spans="1:12" x14ac:dyDescent="0.25">
      <c r="B239" s="2" t="s">
        <v>86</v>
      </c>
      <c r="C239" s="3">
        <v>45915</v>
      </c>
      <c r="D239" s="2">
        <v>0.72</v>
      </c>
      <c r="E239" s="2">
        <v>0.16</v>
      </c>
      <c r="F239" s="2">
        <v>0.12</v>
      </c>
      <c r="G239">
        <v>2.0827976343532943E-2</v>
      </c>
      <c r="H239" s="2">
        <v>-1.8868470554189037E-2</v>
      </c>
      <c r="I239" s="2">
        <v>-1.8862142256932547E-2</v>
      </c>
      <c r="J239" s="2">
        <v>-1.8895750760438715E-2</v>
      </c>
      <c r="K239">
        <v>-1.8881418967243636E-2</v>
      </c>
      <c r="L239">
        <v>-1.8868832731648674E-2</v>
      </c>
    </row>
    <row r="240" spans="1:12" x14ac:dyDescent="0.25">
      <c r="B240" s="2" t="s">
        <v>86</v>
      </c>
      <c r="C240" s="3">
        <v>45929</v>
      </c>
      <c r="D240" s="2">
        <v>0.54</v>
      </c>
      <c r="E240" s="2">
        <v>0.34</v>
      </c>
      <c r="F240" s="2">
        <v>0.12</v>
      </c>
      <c r="G240">
        <v>-1.3350125944584335E-2</v>
      </c>
      <c r="H240" s="2">
        <v>3.0665919436824632E-2</v>
      </c>
      <c r="I240" s="2">
        <v>3.0660876399286587E-2</v>
      </c>
      <c r="J240" s="2">
        <v>3.0674558436678004E-2</v>
      </c>
      <c r="K240">
        <v>3.0665305924089972E-2</v>
      </c>
      <c r="L240">
        <v>3.0662807241328558E-2</v>
      </c>
    </row>
    <row r="241" spans="1:12" x14ac:dyDescent="0.25">
      <c r="B241" s="2" t="s">
        <v>86</v>
      </c>
      <c r="C241" s="3">
        <v>45943</v>
      </c>
      <c r="D241" s="2">
        <v>0.72</v>
      </c>
      <c r="E241" s="2">
        <v>0.15</v>
      </c>
      <c r="F241" s="2">
        <v>0.13</v>
      </c>
      <c r="G241">
        <v>0.1330099565994384</v>
      </c>
      <c r="H241" s="2">
        <v>0.11901400389208994</v>
      </c>
      <c r="I241" s="2">
        <v>0.11901456642878105</v>
      </c>
      <c r="J241" s="2">
        <v>0.13395013900916083</v>
      </c>
      <c r="K241">
        <v>0.11901169370049046</v>
      </c>
      <c r="L241">
        <v>0.11904988575780664</v>
      </c>
    </row>
    <row r="242" spans="1:12" x14ac:dyDescent="0.25">
      <c r="A242" t="s">
        <v>87</v>
      </c>
      <c r="B242" s="2" t="s">
        <v>88</v>
      </c>
      <c r="C242" s="3">
        <v>45873</v>
      </c>
      <c r="D242" s="2">
        <v>0.8</v>
      </c>
      <c r="E242" s="2">
        <v>0.09</v>
      </c>
      <c r="F242" s="2">
        <v>0.11</v>
      </c>
      <c r="G242">
        <v>1.7227564099890263E-2</v>
      </c>
      <c r="H242" s="2">
        <v>2.2492459731758983E-2</v>
      </c>
      <c r="I242" s="2">
        <v>2.2491277447935262E-2</v>
      </c>
      <c r="J242" s="2">
        <v>2.2481846955874039E-2</v>
      </c>
      <c r="K242">
        <v>2.2399020807833653E-2</v>
      </c>
      <c r="L242">
        <v>2.2433460076045547E-2</v>
      </c>
    </row>
    <row r="243" spans="1:12" x14ac:dyDescent="0.25">
      <c r="B243" s="2" t="s">
        <v>88</v>
      </c>
      <c r="C243" s="3">
        <v>45887</v>
      </c>
      <c r="D243" s="2">
        <v>0.75</v>
      </c>
      <c r="E243" s="2">
        <v>0.08</v>
      </c>
      <c r="F243" s="2">
        <v>0.17</v>
      </c>
      <c r="G243">
        <v>2.2055927530380093E-2</v>
      </c>
      <c r="H243" s="2">
        <v>3.1419650422066653E-2</v>
      </c>
      <c r="I243" s="2">
        <v>-1.4137728842269746E-2</v>
      </c>
      <c r="J243" s="2">
        <v>3.1410752492374905E-2</v>
      </c>
      <c r="K243">
        <v>3.1485693762719966E-2</v>
      </c>
      <c r="L243">
        <v>-4.5865873311019285E-3</v>
      </c>
    </row>
    <row r="244" spans="1:12" x14ac:dyDescent="0.25">
      <c r="B244" s="2" t="s">
        <v>88</v>
      </c>
      <c r="C244" s="3">
        <v>45901</v>
      </c>
      <c r="D244" s="2">
        <v>0.82</v>
      </c>
      <c r="E244" s="2">
        <v>7.0000000000000007E-2</v>
      </c>
      <c r="F244" s="2">
        <v>0.11</v>
      </c>
      <c r="G244">
        <v>1.9267822748375704E-3</v>
      </c>
      <c r="H244" s="2">
        <v>-2.6621435579929067E-3</v>
      </c>
      <c r="I244" s="2">
        <v>-2.6681866243722825E-3</v>
      </c>
      <c r="J244" s="2">
        <v>-5.6009180385752755E-2</v>
      </c>
      <c r="K244">
        <v>-2.6694521819870935E-3</v>
      </c>
      <c r="L244">
        <v>-2.7397260273973731E-3</v>
      </c>
    </row>
    <row r="245" spans="1:12" x14ac:dyDescent="0.25">
      <c r="B245" s="2" t="s">
        <v>88</v>
      </c>
      <c r="C245" s="3">
        <v>45915</v>
      </c>
      <c r="D245" s="2">
        <v>0.78</v>
      </c>
      <c r="E245" s="2">
        <v>0.08</v>
      </c>
      <c r="F245" s="2">
        <v>0.14000000000000001</v>
      </c>
      <c r="G245">
        <v>-1.7307692306462636E-2</v>
      </c>
      <c r="H245" s="2">
        <v>-1.7944982954935348E-2</v>
      </c>
      <c r="I245" s="2">
        <v>-1.7948696710924059E-2</v>
      </c>
      <c r="J245" s="2">
        <v>-1.7953992893211038E-2</v>
      </c>
      <c r="K245">
        <v>-1.7921564063772804E-2</v>
      </c>
      <c r="L245">
        <v>-1.7857142857142832E-2</v>
      </c>
    </row>
    <row r="246" spans="1:12" x14ac:dyDescent="0.25">
      <c r="B246" s="2" t="s">
        <v>88</v>
      </c>
      <c r="C246" s="3">
        <v>45929</v>
      </c>
      <c r="D246" s="2">
        <v>0.65</v>
      </c>
      <c r="E246" s="2">
        <v>0.03</v>
      </c>
      <c r="F246" s="2">
        <v>0.32</v>
      </c>
      <c r="G246">
        <v>-1.7086464065026459E-2</v>
      </c>
      <c r="H246" s="2">
        <v>-2.5937718412674007E-3</v>
      </c>
      <c r="I246" s="2">
        <v>-2.589275171634322E-3</v>
      </c>
      <c r="J246" s="2">
        <v>-2.5709388687868259E-3</v>
      </c>
      <c r="K246">
        <v>-2.606943950705036E-3</v>
      </c>
      <c r="L246">
        <v>-2.6700572155117495E-3</v>
      </c>
    </row>
    <row r="247" spans="1:12" x14ac:dyDescent="0.25">
      <c r="B247" s="2" t="s">
        <v>88</v>
      </c>
      <c r="C247" s="3">
        <v>45943</v>
      </c>
      <c r="D247" s="2">
        <v>0.84</v>
      </c>
      <c r="E247" s="2">
        <v>0.06</v>
      </c>
      <c r="F247" s="2">
        <v>0.1</v>
      </c>
      <c r="G247">
        <v>2.030254776926459E-2</v>
      </c>
      <c r="H247" s="2">
        <v>-1.1756828303591154E-3</v>
      </c>
      <c r="I247" s="2">
        <v>-1.1669302124998173E-3</v>
      </c>
      <c r="J247" s="2">
        <v>-1.1933174224345539E-3</v>
      </c>
      <c r="K247">
        <v>-1.188071759534277E-3</v>
      </c>
      <c r="L247">
        <v>-1.147373788883238E-3</v>
      </c>
    </row>
    <row r="248" spans="1:12" x14ac:dyDescent="0.25">
      <c r="A248" t="s">
        <v>89</v>
      </c>
      <c r="B248" s="2" t="s">
        <v>90</v>
      </c>
      <c r="C248" s="3">
        <v>45873</v>
      </c>
      <c r="D248" s="2">
        <v>0.88</v>
      </c>
      <c r="E248" s="2">
        <v>0.04</v>
      </c>
      <c r="F248" s="2">
        <v>0.08</v>
      </c>
      <c r="G248">
        <v>4.1135063792737667E-2</v>
      </c>
      <c r="H248" s="2">
        <v>3.5204079471769352E-2</v>
      </c>
      <c r="I248" s="2">
        <v>3.5205944060184374E-2</v>
      </c>
      <c r="J248" s="2">
        <v>3.5199735795571799E-2</v>
      </c>
      <c r="K248">
        <v>3.5205822757811665E-2</v>
      </c>
      <c r="L248">
        <v>3.520217026224013E-2</v>
      </c>
    </row>
    <row r="249" spans="1:12" x14ac:dyDescent="0.25">
      <c r="B249" s="2" t="s">
        <v>90</v>
      </c>
      <c r="C249" s="3">
        <v>45887</v>
      </c>
      <c r="D249" s="2">
        <v>0.71</v>
      </c>
      <c r="E249" s="2">
        <v>0.14000000000000001</v>
      </c>
      <c r="F249" s="2">
        <v>0.15</v>
      </c>
      <c r="G249">
        <v>4.1538136488429814E-2</v>
      </c>
      <c r="H249" s="2">
        <v>3.214126445763657E-2</v>
      </c>
      <c r="I249" s="2">
        <v>0.25266516194031591</v>
      </c>
      <c r="J249" s="2">
        <v>2.2863523375293944E-3</v>
      </c>
      <c r="K249">
        <v>3.2141339480021125E-2</v>
      </c>
      <c r="L249">
        <v>0.11524302739127708</v>
      </c>
    </row>
    <row r="250" spans="1:12" x14ac:dyDescent="0.25">
      <c r="B250" s="2" t="s">
        <v>90</v>
      </c>
      <c r="C250" s="3">
        <v>45901</v>
      </c>
      <c r="D250" s="2">
        <v>0.69</v>
      </c>
      <c r="E250" s="2">
        <v>0.11</v>
      </c>
      <c r="F250" s="2">
        <v>0.2</v>
      </c>
      <c r="G250">
        <v>-2.7913015255735543E-2</v>
      </c>
      <c r="H250" s="2">
        <v>-7.4164509646141895E-3</v>
      </c>
      <c r="I250" s="2">
        <v>-7.4130648253503129E-3</v>
      </c>
      <c r="J250" s="2">
        <v>3.466797522579277E-2</v>
      </c>
      <c r="K250">
        <v>-7.4108267937569548E-3</v>
      </c>
      <c r="L250">
        <v>-7.4074074074074372E-3</v>
      </c>
    </row>
    <row r="251" spans="1:12" x14ac:dyDescent="0.25">
      <c r="B251" s="2" t="s">
        <v>90</v>
      </c>
      <c r="C251" s="3">
        <v>45915</v>
      </c>
      <c r="D251" s="2">
        <v>0.77</v>
      </c>
      <c r="E251" s="2">
        <v>7.0000000000000007E-2</v>
      </c>
      <c r="F251" s="2">
        <v>0.16</v>
      </c>
      <c r="G251">
        <v>-2.5041736213310853E-3</v>
      </c>
      <c r="H251" s="2">
        <v>-1.0123559339632536E-2</v>
      </c>
      <c r="I251" s="2">
        <v>-1.0125405534426011E-2</v>
      </c>
      <c r="J251" s="2">
        <v>-1.0113439723130163E-2</v>
      </c>
      <c r="K251">
        <v>-1.0130846290174533E-2</v>
      </c>
      <c r="L251">
        <v>-1.0134373449970502E-2</v>
      </c>
    </row>
    <row r="252" spans="1:12" x14ac:dyDescent="0.25">
      <c r="B252" s="2" t="s">
        <v>90</v>
      </c>
      <c r="C252" s="3">
        <v>45929</v>
      </c>
      <c r="D252" s="2">
        <v>0.78</v>
      </c>
      <c r="E252" s="2">
        <v>0.09</v>
      </c>
      <c r="F252" s="2">
        <v>0.13</v>
      </c>
      <c r="G252">
        <v>-1.5899581589267936E-2</v>
      </c>
      <c r="H252" s="2">
        <v>1.4463168341597159E-2</v>
      </c>
      <c r="I252" s="2">
        <v>1.4461439861921487E-2</v>
      </c>
      <c r="J252" s="2">
        <v>1.4451091601274202E-2</v>
      </c>
      <c r="K252">
        <v>1.4462941094307532E-2</v>
      </c>
      <c r="L252">
        <v>1.4463209921534112E-2</v>
      </c>
    </row>
    <row r="253" spans="1:12" x14ac:dyDescent="0.25">
      <c r="B253" s="2" t="s">
        <v>90</v>
      </c>
      <c r="C253" s="3">
        <v>45943</v>
      </c>
      <c r="D253" s="2">
        <v>0.56999999999999995</v>
      </c>
      <c r="E253" s="2">
        <v>0.19</v>
      </c>
      <c r="F253" s="2">
        <v>0.24</v>
      </c>
      <c r="G253">
        <v>-5.8035714285322872E-2</v>
      </c>
      <c r="H253" s="2">
        <v>-8.4503849580045823E-2</v>
      </c>
      <c r="I253" s="2">
        <v>-8.4502769429006558E-2</v>
      </c>
      <c r="J253" s="2">
        <v>-8.450128921906512E-2</v>
      </c>
      <c r="K253">
        <v>-8.4501577129124372E-2</v>
      </c>
      <c r="L253">
        <v>-8.4498029838682417E-2</v>
      </c>
    </row>
    <row r="254" spans="1:12" x14ac:dyDescent="0.25">
      <c r="A254" t="s">
        <v>91</v>
      </c>
      <c r="B254" s="2" t="s">
        <v>92</v>
      </c>
      <c r="C254" s="3">
        <v>45873</v>
      </c>
      <c r="D254" s="2">
        <v>0.7</v>
      </c>
      <c r="E254" s="2">
        <v>0.12</v>
      </c>
      <c r="F254" s="2">
        <v>0.18</v>
      </c>
      <c r="G254">
        <v>5.0099206349206352E-2</v>
      </c>
      <c r="H254" s="2">
        <v>7.7960397409004054E-2</v>
      </c>
      <c r="I254" s="2">
        <v>7.7960358353061227E-2</v>
      </c>
      <c r="J254" s="2">
        <v>7.7977003392219954E-2</v>
      </c>
      <c r="K254">
        <v>7.7930707166587412E-2</v>
      </c>
      <c r="L254">
        <v>7.8002085110416119E-2</v>
      </c>
    </row>
    <row r="255" spans="1:12" x14ac:dyDescent="0.25">
      <c r="B255" s="2" t="s">
        <v>92</v>
      </c>
      <c r="C255" s="3">
        <v>45887</v>
      </c>
      <c r="D255" s="2">
        <v>0.54</v>
      </c>
      <c r="E255" s="2">
        <v>0.09</v>
      </c>
      <c r="F255" s="2">
        <v>0.37</v>
      </c>
      <c r="G255">
        <v>-3.9678790741615497E-2</v>
      </c>
      <c r="H255" s="2">
        <v>-5.5171823877852147E-2</v>
      </c>
      <c r="I255" s="2">
        <v>9.4046721929163496E-2</v>
      </c>
      <c r="J255" s="2">
        <v>-9.2320895827373323E-2</v>
      </c>
      <c r="K255">
        <v>-5.5125044029587879E-2</v>
      </c>
      <c r="L255">
        <v>-2.0749076841920226E-2</v>
      </c>
    </row>
    <row r="256" spans="1:12" x14ac:dyDescent="0.25">
      <c r="B256" s="2" t="s">
        <v>92</v>
      </c>
      <c r="C256" s="3">
        <v>45901</v>
      </c>
      <c r="D256" s="2">
        <v>0.67</v>
      </c>
      <c r="E256" s="2">
        <v>0.14000000000000001</v>
      </c>
      <c r="F256" s="2">
        <v>0.19</v>
      </c>
      <c r="G256">
        <v>2.9513034923757992E-3</v>
      </c>
      <c r="H256" s="2">
        <v>-7.3670868886224388E-3</v>
      </c>
      <c r="I256" s="2">
        <v>-7.3603211776513645E-3</v>
      </c>
      <c r="J256" s="2">
        <v>-7.3840612336785096E-3</v>
      </c>
      <c r="K256">
        <v>-7.3625349487418624E-3</v>
      </c>
      <c r="L256">
        <v>-7.3621835158915296E-3</v>
      </c>
    </row>
    <row r="257" spans="1:12" x14ac:dyDescent="0.25">
      <c r="B257" s="2" t="s">
        <v>92</v>
      </c>
      <c r="C257" s="3">
        <v>45915</v>
      </c>
      <c r="D257" s="2">
        <v>0.6</v>
      </c>
      <c r="E257" s="2">
        <v>0.14000000000000001</v>
      </c>
      <c r="F257" s="2">
        <v>0.26</v>
      </c>
      <c r="G257">
        <v>-1.6184404119666502E-2</v>
      </c>
      <c r="H257" s="2">
        <v>4.4576184233028841E-3</v>
      </c>
      <c r="I257" s="2">
        <v>4.4410079501973074E-3</v>
      </c>
      <c r="J257" s="2">
        <v>8.7544225709878763E-3</v>
      </c>
      <c r="K257">
        <v>4.412731198948595E-3</v>
      </c>
      <c r="L257">
        <v>4.5224312590449673E-3</v>
      </c>
    </row>
    <row r="258" spans="1:12" x14ac:dyDescent="0.25">
      <c r="B258" s="2" t="s">
        <v>92</v>
      </c>
      <c r="C258" s="3">
        <v>45929</v>
      </c>
      <c r="D258" s="2">
        <v>0.65</v>
      </c>
      <c r="E258" s="2">
        <v>0.13</v>
      </c>
      <c r="F258" s="2">
        <v>0.22</v>
      </c>
      <c r="G258">
        <v>2.4925224327018942E-2</v>
      </c>
      <c r="H258" s="2">
        <v>1.7217896624520456E-2</v>
      </c>
      <c r="I258" s="2">
        <v>1.7231510175078447E-2</v>
      </c>
      <c r="J258" s="2">
        <v>1.7221997391969064E-2</v>
      </c>
      <c r="K258">
        <v>1.7292951953636157E-2</v>
      </c>
      <c r="L258">
        <v>1.719791103907788E-2</v>
      </c>
    </row>
    <row r="259" spans="1:12" x14ac:dyDescent="0.25">
      <c r="B259" s="2" t="s">
        <v>92</v>
      </c>
      <c r="C259" s="3">
        <v>45943</v>
      </c>
      <c r="D259" s="2">
        <v>0.74</v>
      </c>
      <c r="E259" s="2">
        <v>0.06</v>
      </c>
      <c r="F259" s="2">
        <v>0.2</v>
      </c>
      <c r="G259">
        <v>0.10700389105058365</v>
      </c>
      <c r="H259" s="2">
        <v>0.10111243765551234</v>
      </c>
      <c r="I259" s="2">
        <v>0.101113784538963</v>
      </c>
      <c r="J259" s="2">
        <v>0.1010962779595084</v>
      </c>
      <c r="K259">
        <v>0.10107507121198187</v>
      </c>
      <c r="L259">
        <v>0.10108878463308851</v>
      </c>
    </row>
    <row r="260" spans="1:12" x14ac:dyDescent="0.25">
      <c r="A260" t="s">
        <v>93</v>
      </c>
      <c r="B260" s="2" t="s">
        <v>94</v>
      </c>
      <c r="C260" s="3">
        <v>45873</v>
      </c>
      <c r="D260" s="2">
        <v>0.46</v>
      </c>
      <c r="E260" s="2">
        <v>0.2</v>
      </c>
      <c r="F260" s="2">
        <v>0.34</v>
      </c>
      <c r="G260">
        <v>-7.7958894388355958E-3</v>
      </c>
      <c r="H260" s="2">
        <v>-1.3341987595557514E-2</v>
      </c>
      <c r="I260" s="2">
        <v>-1.3353561450416041E-2</v>
      </c>
      <c r="J260" s="2">
        <v>-1.3356499076989997E-2</v>
      </c>
      <c r="K260">
        <v>-1.3356479841281112E-2</v>
      </c>
      <c r="L260">
        <v>-1.3312682081351107E-2</v>
      </c>
    </row>
    <row r="261" spans="1:12" x14ac:dyDescent="0.25">
      <c r="B261" s="2" t="s">
        <v>94</v>
      </c>
      <c r="C261" s="3">
        <v>45887</v>
      </c>
      <c r="D261" s="2">
        <v>0.47</v>
      </c>
      <c r="E261" s="2">
        <v>0.15</v>
      </c>
      <c r="F261" s="2">
        <v>0.38</v>
      </c>
      <c r="G261">
        <v>1.8571428572293928E-2</v>
      </c>
      <c r="H261" s="2">
        <v>4.2686938089321448E-3</v>
      </c>
      <c r="I261" s="2">
        <v>4.2779934536042244E-3</v>
      </c>
      <c r="J261" s="2">
        <v>-4.1712524763372151E-2</v>
      </c>
      <c r="K261">
        <v>4.2730439154009996E-3</v>
      </c>
      <c r="L261">
        <v>4.2607265660037493E-3</v>
      </c>
    </row>
    <row r="262" spans="1:12" x14ac:dyDescent="0.25">
      <c r="B262" s="2" t="s">
        <v>94</v>
      </c>
      <c r="C262" s="3">
        <v>45901</v>
      </c>
      <c r="D262" s="2">
        <v>0.55000000000000004</v>
      </c>
      <c r="E262" s="2">
        <v>0.17</v>
      </c>
      <c r="F262" s="2">
        <v>0.28000000000000003</v>
      </c>
      <c r="G262">
        <v>-2.3842917253367946E-2</v>
      </c>
      <c r="H262" s="2">
        <v>-1.0626373786336903E-3</v>
      </c>
      <c r="I262" s="2">
        <v>-1.0611527150349686E-3</v>
      </c>
      <c r="J262" s="2">
        <v>-1.1485012059262673E-3</v>
      </c>
      <c r="K262">
        <v>-1.0726544622426035E-3</v>
      </c>
      <c r="L262">
        <v>-1.0792705619649806E-3</v>
      </c>
    </row>
    <row r="263" spans="1:12" x14ac:dyDescent="0.25">
      <c r="B263" s="2" t="s">
        <v>94</v>
      </c>
      <c r="C263" s="3">
        <v>45915</v>
      </c>
      <c r="D263" s="2">
        <v>0.59</v>
      </c>
      <c r="E263" s="2">
        <v>0.15</v>
      </c>
      <c r="F263" s="2">
        <v>0.26</v>
      </c>
      <c r="G263">
        <v>-4.0589080460049547E-2</v>
      </c>
      <c r="H263" s="2">
        <v>-6.456924691070183E-2</v>
      </c>
      <c r="I263" s="2">
        <v>-6.4571445914774733E-2</v>
      </c>
      <c r="J263" s="2">
        <v>-6.4505001724732711E-2</v>
      </c>
      <c r="K263">
        <v>-6.4571551292146936E-2</v>
      </c>
      <c r="L263">
        <v>-6.4565403673484512E-2</v>
      </c>
    </row>
    <row r="264" spans="1:12" x14ac:dyDescent="0.25">
      <c r="B264" s="2" t="s">
        <v>94</v>
      </c>
      <c r="C264" s="3">
        <v>45929</v>
      </c>
      <c r="D264" s="2">
        <v>0.41</v>
      </c>
      <c r="E264" s="2">
        <v>0.21</v>
      </c>
      <c r="F264" s="2">
        <v>0.38</v>
      </c>
      <c r="G264">
        <v>-4.867090977397571E-3</v>
      </c>
      <c r="H264" s="2">
        <v>7.6332310376522774E-4</v>
      </c>
      <c r="I264" s="2">
        <v>7.6247951850224758E-4</v>
      </c>
      <c r="J264" s="2">
        <v>7.374631268437131E-4</v>
      </c>
      <c r="K264">
        <v>7.652865998317226E-4</v>
      </c>
      <c r="L264">
        <v>7.5673092241517153E-4</v>
      </c>
    </row>
    <row r="265" spans="1:12" x14ac:dyDescent="0.25">
      <c r="B265" s="2" t="s">
        <v>94</v>
      </c>
      <c r="C265" s="3">
        <v>45943</v>
      </c>
      <c r="D265" s="2">
        <v>0.3</v>
      </c>
      <c r="E265" s="2">
        <v>0.24</v>
      </c>
      <c r="F265" s="2">
        <v>0.46</v>
      </c>
      <c r="G265">
        <v>4.4394281417195314E-2</v>
      </c>
      <c r="H265" s="2">
        <v>5.1913078671274232E-2</v>
      </c>
      <c r="I265" s="2">
        <v>5.1922578135131563E-2</v>
      </c>
      <c r="J265" s="2">
        <v>5.1952837140751662E-2</v>
      </c>
      <c r="K265">
        <v>5.1923223981035285E-2</v>
      </c>
      <c r="L265">
        <v>5.1936164285430034E-2</v>
      </c>
    </row>
    <row r="266" spans="1:12" x14ac:dyDescent="0.25">
      <c r="A266" t="s">
        <v>95</v>
      </c>
      <c r="B266" s="2" t="s">
        <v>96</v>
      </c>
      <c r="C266" s="3">
        <v>45873</v>
      </c>
      <c r="D266" s="2">
        <v>0.65</v>
      </c>
      <c r="E266" s="2">
        <v>0.14000000000000001</v>
      </c>
      <c r="F266" s="2">
        <v>0.21</v>
      </c>
      <c r="G266">
        <v>-8.5304381539342937E-3</v>
      </c>
      <c r="H266" s="2">
        <v>-8.4802649243711625E-3</v>
      </c>
      <c r="I266" s="2">
        <v>-8.4830066574111893E-3</v>
      </c>
      <c r="J266" s="2">
        <v>-8.5124624900483944E-3</v>
      </c>
      <c r="K266">
        <v>-8.4924965893588486E-3</v>
      </c>
      <c r="L266">
        <v>-8.466857817507209E-3</v>
      </c>
    </row>
    <row r="267" spans="1:12" x14ac:dyDescent="0.25">
      <c r="B267" s="2" t="s">
        <v>96</v>
      </c>
      <c r="C267" s="3">
        <v>45887</v>
      </c>
      <c r="D267" s="2">
        <v>0.77</v>
      </c>
      <c r="E267" s="2">
        <v>0.1</v>
      </c>
      <c r="F267" s="2">
        <v>0.13</v>
      </c>
      <c r="G267">
        <v>1.4470082127425883E-2</v>
      </c>
      <c r="H267" s="2">
        <v>-1.5571051384469356E-3</v>
      </c>
      <c r="I267" s="2">
        <v>5.3494448793287915E-2</v>
      </c>
      <c r="J267" s="2">
        <v>-5.0030883261272365E-3</v>
      </c>
      <c r="K267">
        <v>-1.5479343675827205E-3</v>
      </c>
      <c r="L267">
        <v>3.4632918282642679E-2</v>
      </c>
    </row>
    <row r="268" spans="1:12" x14ac:dyDescent="0.25">
      <c r="B268" s="2" t="s">
        <v>96</v>
      </c>
      <c r="C268" s="3">
        <v>45901</v>
      </c>
      <c r="D268" s="2">
        <v>0.87</v>
      </c>
      <c r="E268" s="2">
        <v>0.03</v>
      </c>
      <c r="F268" s="2">
        <v>0.1</v>
      </c>
      <c r="G268">
        <v>1.2721665381876648E-2</v>
      </c>
      <c r="H268" s="2">
        <v>2.4138866286954112E-2</v>
      </c>
      <c r="I268" s="2">
        <v>2.4143668958588299E-2</v>
      </c>
      <c r="J268" s="2">
        <v>2.4147991805822791E-2</v>
      </c>
      <c r="K268">
        <v>2.4150761386343294E-2</v>
      </c>
      <c r="L268">
        <v>2.4135209785610914E-2</v>
      </c>
    </row>
    <row r="269" spans="1:12" x14ac:dyDescent="0.25">
      <c r="B269" s="2" t="s">
        <v>96</v>
      </c>
      <c r="C269" s="3">
        <v>45915</v>
      </c>
      <c r="D269" s="2">
        <v>0.9</v>
      </c>
      <c r="E269" s="2">
        <v>0.04</v>
      </c>
      <c r="F269" s="2">
        <v>0.06</v>
      </c>
      <c r="G269">
        <v>4.9486105824762556E-3</v>
      </c>
      <c r="H269" s="2">
        <v>7.6138771186439642E-3</v>
      </c>
      <c r="I269" s="2">
        <v>7.6026977314531665E-3</v>
      </c>
      <c r="J269" s="2">
        <v>7.5766759607226201E-3</v>
      </c>
      <c r="K269">
        <v>7.6025162310356682E-3</v>
      </c>
      <c r="L269">
        <v>7.6093238297053481E-3</v>
      </c>
    </row>
    <row r="270" spans="1:12" x14ac:dyDescent="0.25">
      <c r="B270" s="2" t="s">
        <v>96</v>
      </c>
      <c r="C270" s="3">
        <v>45929</v>
      </c>
      <c r="D270" s="2">
        <v>0.89</v>
      </c>
      <c r="E270" s="2">
        <v>0.04</v>
      </c>
      <c r="F270" s="2">
        <v>7.0000000000000007E-2</v>
      </c>
      <c r="G270">
        <v>-3.0303030305251898E-3</v>
      </c>
      <c r="H270" s="2">
        <v>1.0184637624022601E-2</v>
      </c>
      <c r="I270" s="2">
        <v>1.0182142712263243E-2</v>
      </c>
      <c r="J270" s="2">
        <v>1.0166636587860142E-2</v>
      </c>
      <c r="K270">
        <v>1.0182619437118142E-2</v>
      </c>
      <c r="L270">
        <v>1.0196603256540173E-2</v>
      </c>
    </row>
    <row r="271" spans="1:12" x14ac:dyDescent="0.25">
      <c r="B271" s="2" t="s">
        <v>96</v>
      </c>
      <c r="C271" s="3">
        <v>45943</v>
      </c>
      <c r="D271" s="2">
        <v>0.93</v>
      </c>
      <c r="E271" s="2">
        <v>0.01</v>
      </c>
      <c r="F271" s="2">
        <v>0.06</v>
      </c>
      <c r="G271">
        <v>3.7613981762786408E-2</v>
      </c>
      <c r="H271" s="2">
        <v>2.0174753913533836E-2</v>
      </c>
      <c r="I271" s="2">
        <v>2.0179102080154075E-2</v>
      </c>
      <c r="J271" s="2">
        <v>6.4673654121010019E-2</v>
      </c>
      <c r="K271">
        <v>2.0193006808116913E-2</v>
      </c>
      <c r="L271">
        <v>2.0155821215657774E-2</v>
      </c>
    </row>
    <row r="272" spans="1:12" x14ac:dyDescent="0.25">
      <c r="A272" t="s">
        <v>97</v>
      </c>
      <c r="B272" s="2" t="s">
        <v>98</v>
      </c>
      <c r="C272" s="3">
        <v>45873</v>
      </c>
      <c r="D272" s="2">
        <v>0.56999999999999995</v>
      </c>
      <c r="E272" s="2">
        <v>0.12</v>
      </c>
      <c r="F272" s="2">
        <v>0.31</v>
      </c>
      <c r="G272">
        <v>-3.5548686247378912E-2</v>
      </c>
      <c r="H272" s="2">
        <v>-3.5501508295625928E-2</v>
      </c>
      <c r="I272" s="2">
        <v>-3.5499747366057266E-2</v>
      </c>
      <c r="J272" s="2">
        <v>-3.5587888320880966E-2</v>
      </c>
      <c r="K272">
        <v>-3.5517452541335023E-2</v>
      </c>
      <c r="L272">
        <v>-3.5484687420906123E-2</v>
      </c>
    </row>
    <row r="273" spans="1:12" x14ac:dyDescent="0.25">
      <c r="B273" s="2" t="s">
        <v>98</v>
      </c>
      <c r="C273" s="3">
        <v>45887</v>
      </c>
      <c r="D273" s="2">
        <v>0.71</v>
      </c>
      <c r="E273" s="2">
        <v>7.0000000000000007E-2</v>
      </c>
      <c r="F273" s="2">
        <v>0.22</v>
      </c>
      <c r="G273">
        <v>-2.7243589741828431E-2</v>
      </c>
      <c r="H273" s="2">
        <v>-3.9994526653243954E-2</v>
      </c>
      <c r="I273" s="2">
        <v>-4.0007760962359321E-2</v>
      </c>
      <c r="J273" s="2">
        <v>-3.9959225280326215E-2</v>
      </c>
      <c r="K273">
        <v>-3.9999999999999945E-2</v>
      </c>
      <c r="L273">
        <v>-4.0044085231447486E-2</v>
      </c>
    </row>
    <row r="274" spans="1:12" x14ac:dyDescent="0.25">
      <c r="B274" s="2" t="s">
        <v>98</v>
      </c>
      <c r="C274" s="3">
        <v>45901</v>
      </c>
      <c r="D274" s="2">
        <v>0.72</v>
      </c>
      <c r="E274" s="2">
        <v>7.0000000000000007E-2</v>
      </c>
      <c r="F274" s="2">
        <v>0.21</v>
      </c>
      <c r="G274">
        <v>-3.1301482704315292E-2</v>
      </c>
      <c r="H274" s="2">
        <v>-8.3484351774552271E-3</v>
      </c>
      <c r="I274" s="2">
        <v>-3.3428998746917821E-2</v>
      </c>
      <c r="J274" s="2">
        <v>-2.9942662985771931E-2</v>
      </c>
      <c r="K274">
        <v>-8.322310405643801E-3</v>
      </c>
      <c r="L274">
        <v>-2.5695697337488346E-2</v>
      </c>
    </row>
    <row r="275" spans="1:12" x14ac:dyDescent="0.25">
      <c r="B275" s="2" t="s">
        <v>98</v>
      </c>
      <c r="C275" s="3">
        <v>45915</v>
      </c>
      <c r="D275" s="2">
        <v>0.57999999999999996</v>
      </c>
      <c r="E275" s="2">
        <v>0.12</v>
      </c>
      <c r="F275" s="2">
        <v>0.3</v>
      </c>
      <c r="G275">
        <v>-5.6122448973641194E-2</v>
      </c>
      <c r="H275" s="2">
        <v>-5.8807827354674352E-2</v>
      </c>
      <c r="I275" s="2">
        <v>-5.8819839411174281E-2</v>
      </c>
      <c r="J275" s="2">
        <v>-5.8669001751313468E-2</v>
      </c>
      <c r="K275">
        <v>-5.8856221864058186E-2</v>
      </c>
      <c r="L275">
        <v>-5.8807025419448967E-2</v>
      </c>
    </row>
    <row r="276" spans="1:12" x14ac:dyDescent="0.25">
      <c r="B276" s="2" t="s">
        <v>98</v>
      </c>
      <c r="C276" s="3">
        <v>45929</v>
      </c>
      <c r="D276" s="2">
        <v>0.47</v>
      </c>
      <c r="E276" s="2">
        <v>0.28000000000000003</v>
      </c>
      <c r="F276" s="2">
        <v>0.25</v>
      </c>
      <c r="G276">
        <v>0</v>
      </c>
      <c r="H276" s="2">
        <v>-1.7867661496171233E-2</v>
      </c>
      <c r="I276" s="2">
        <v>-1.7862300326586839E-2</v>
      </c>
      <c r="J276" s="2">
        <v>-1.7906976744186009E-2</v>
      </c>
      <c r="K276">
        <v>-1.7833943545529706E-2</v>
      </c>
      <c r="L276">
        <v>-1.7885888034340922E-2</v>
      </c>
    </row>
    <row r="277" spans="1:12" x14ac:dyDescent="0.25">
      <c r="B277" s="2" t="s">
        <v>98</v>
      </c>
      <c r="C277" s="3">
        <v>45943</v>
      </c>
      <c r="D277" s="2">
        <v>0.5</v>
      </c>
      <c r="E277" s="2">
        <v>0.28999999999999998</v>
      </c>
      <c r="F277" s="2">
        <v>0.21</v>
      </c>
      <c r="G277">
        <v>4.1441441436527858E-2</v>
      </c>
      <c r="H277" s="2">
        <v>5.0912968146074815E-2</v>
      </c>
      <c r="I277" s="2">
        <v>5.0896916777885777E-2</v>
      </c>
      <c r="J277" s="2">
        <v>5.0911674165285255E-2</v>
      </c>
      <c r="K277">
        <v>5.0925925925925923E-2</v>
      </c>
      <c r="L277">
        <v>5.0931827839494986E-2</v>
      </c>
    </row>
    <row r="278" spans="1:12" x14ac:dyDescent="0.25">
      <c r="A278" t="s">
        <v>99</v>
      </c>
      <c r="B278" s="2" t="s">
        <v>100</v>
      </c>
      <c r="C278" s="3">
        <v>45873</v>
      </c>
      <c r="D278" s="2">
        <v>0.62</v>
      </c>
      <c r="E278" s="2">
        <v>0.17</v>
      </c>
      <c r="F278" s="2">
        <v>0.21</v>
      </c>
      <c r="G278">
        <v>-3.0155642023159804E-2</v>
      </c>
      <c r="H278" s="2">
        <v>-2.7253059511124035E-2</v>
      </c>
      <c r="I278" s="2">
        <v>-2.7270660083160002E-2</v>
      </c>
      <c r="J278" s="2">
        <v>-2.7249274427604043E-2</v>
      </c>
      <c r="K278">
        <v>-2.7268436149740526E-2</v>
      </c>
      <c r="L278">
        <v>-2.7235072028151473E-2</v>
      </c>
    </row>
    <row r="279" spans="1:12" x14ac:dyDescent="0.25">
      <c r="B279" s="2" t="s">
        <v>100</v>
      </c>
      <c r="C279" s="3">
        <v>45887</v>
      </c>
      <c r="D279" s="2">
        <v>0.72</v>
      </c>
      <c r="E279" s="2">
        <v>0.09</v>
      </c>
      <c r="F279" s="2">
        <v>0.19</v>
      </c>
      <c r="G279">
        <v>-4.9147442329855566E-2</v>
      </c>
      <c r="H279" s="2">
        <v>-4.504564315352709E-2</v>
      </c>
      <c r="I279" s="2">
        <v>-4.9858905642104628E-2</v>
      </c>
      <c r="J279" s="2">
        <v>-7.5915796452842632E-2</v>
      </c>
      <c r="K279">
        <v>-4.5054124673385522E-2</v>
      </c>
      <c r="L279">
        <v>-5.5542994950636734E-2</v>
      </c>
    </row>
    <row r="280" spans="1:12" x14ac:dyDescent="0.25">
      <c r="B280" s="2" t="s">
        <v>100</v>
      </c>
      <c r="C280" s="3">
        <v>45901</v>
      </c>
      <c r="D280" s="2">
        <v>0.59</v>
      </c>
      <c r="E280" s="2">
        <v>0.09</v>
      </c>
      <c r="F280" s="2">
        <v>0.32</v>
      </c>
      <c r="G280">
        <v>-2.2151898735539764E-2</v>
      </c>
      <c r="H280" s="2">
        <v>-2.4106646273637386E-2</v>
      </c>
      <c r="I280" s="2">
        <v>-2.4111206790503135E-2</v>
      </c>
      <c r="J280" s="2">
        <v>-2.4215246636771222E-2</v>
      </c>
      <c r="K280">
        <v>-2.411757807919325E-2</v>
      </c>
      <c r="L280">
        <v>-2.4098308330673477E-2</v>
      </c>
    </row>
    <row r="281" spans="1:12" x14ac:dyDescent="0.25">
      <c r="B281" s="2" t="s">
        <v>100</v>
      </c>
      <c r="C281" s="3">
        <v>45915</v>
      </c>
      <c r="D281" s="2">
        <v>0.67</v>
      </c>
      <c r="E281" s="2">
        <v>0.12</v>
      </c>
      <c r="F281" s="2">
        <v>0.21</v>
      </c>
      <c r="G281">
        <v>-2.8047464941348611E-2</v>
      </c>
      <c r="H281" s="2">
        <v>-2.9012092824449165E-2</v>
      </c>
      <c r="I281" s="2">
        <v>-2.8992814824152204E-2</v>
      </c>
      <c r="J281" s="2">
        <v>-2.9044117647058887E-2</v>
      </c>
      <c r="K281">
        <v>-2.8999439237362822E-2</v>
      </c>
      <c r="L281">
        <v>-2.8986099754701535E-2</v>
      </c>
    </row>
    <row r="282" spans="1:12" x14ac:dyDescent="0.25">
      <c r="B282" s="2" t="s">
        <v>100</v>
      </c>
      <c r="C282" s="3">
        <v>45929</v>
      </c>
      <c r="D282" s="2">
        <v>0.72</v>
      </c>
      <c r="E282" s="2">
        <v>7.0000000000000007E-2</v>
      </c>
      <c r="F282" s="2">
        <v>0.21</v>
      </c>
      <c r="G282">
        <v>4.8836646366255197E-2</v>
      </c>
      <c r="H282" s="2">
        <v>1.6599413059427821E-2</v>
      </c>
      <c r="I282" s="2">
        <v>1.659835685539959E-2</v>
      </c>
      <c r="J282" s="2">
        <v>1.6660355925785745E-2</v>
      </c>
      <c r="K282">
        <v>1.6624040920716204E-2</v>
      </c>
      <c r="L282">
        <v>1.658877520946472E-2</v>
      </c>
    </row>
    <row r="283" spans="1:12" x14ac:dyDescent="0.25">
      <c r="B283" s="2" t="s">
        <v>100</v>
      </c>
      <c r="C283" s="3">
        <v>45943</v>
      </c>
      <c r="D283" s="2">
        <v>0.73</v>
      </c>
      <c r="E283" s="2">
        <v>0.11</v>
      </c>
      <c r="F283" s="2">
        <v>0.16</v>
      </c>
      <c r="G283">
        <v>2.3280423285994941E-2</v>
      </c>
      <c r="H283" s="2">
        <v>5.2232746955344952E-2</v>
      </c>
      <c r="I283" s="2">
        <v>5.2229276123759445E-2</v>
      </c>
      <c r="J283" s="2">
        <v>7.0949720670390889E-2</v>
      </c>
      <c r="K283">
        <v>5.2221545952525789E-2</v>
      </c>
      <c r="L283">
        <v>5.2226133775108763E-2</v>
      </c>
    </row>
    <row r="284" spans="1:12" x14ac:dyDescent="0.25">
      <c r="A284" t="s">
        <v>101</v>
      </c>
      <c r="B284" s="2" t="s">
        <v>102</v>
      </c>
      <c r="C284" s="3">
        <v>45873</v>
      </c>
      <c r="D284" s="2">
        <v>0.48</v>
      </c>
      <c r="E284" s="2">
        <v>0.33</v>
      </c>
      <c r="F284" s="2">
        <v>0.19</v>
      </c>
      <c r="G284">
        <v>-1.01892285312301E-2</v>
      </c>
      <c r="H284" s="2">
        <v>-1.2722238414456289E-2</v>
      </c>
      <c r="I284" s="2">
        <v>-1.2722429771336643E-2</v>
      </c>
      <c r="J284" s="2">
        <v>-1.27159719450305E-2</v>
      </c>
      <c r="K284">
        <v>-1.2732095490716251E-2</v>
      </c>
      <c r="L284">
        <v>-1.2718071647356582E-2</v>
      </c>
    </row>
    <row r="285" spans="1:12" x14ac:dyDescent="0.25">
      <c r="B285" s="2" t="s">
        <v>102</v>
      </c>
      <c r="C285" s="3">
        <v>45887</v>
      </c>
      <c r="D285" s="2">
        <v>0.79</v>
      </c>
      <c r="E285" s="2">
        <v>7.0000000000000007E-2</v>
      </c>
      <c r="F285" s="2">
        <v>0.14000000000000001</v>
      </c>
      <c r="G285">
        <v>3.9338235296010986E-2</v>
      </c>
      <c r="H285" s="2">
        <v>5.1913737877691969E-2</v>
      </c>
      <c r="I285" s="2">
        <v>-4.1081248814798167E-2</v>
      </c>
      <c r="J285" s="2">
        <v>-2.0879057410188358E-2</v>
      </c>
      <c r="K285">
        <v>5.1921010209564855E-2</v>
      </c>
      <c r="L285">
        <v>3.7499156943414109E-2</v>
      </c>
    </row>
    <row r="286" spans="1:12" x14ac:dyDescent="0.25">
      <c r="B286" s="2" t="s">
        <v>102</v>
      </c>
      <c r="C286" s="3">
        <v>45901</v>
      </c>
      <c r="D286" s="2">
        <v>0.69</v>
      </c>
      <c r="E286" s="2">
        <v>0.13</v>
      </c>
      <c r="F286" s="2">
        <v>0.18</v>
      </c>
      <c r="G286">
        <v>-1.4149274867565598E-3</v>
      </c>
      <c r="H286" s="2">
        <v>-1.1197799730579246E-2</v>
      </c>
      <c r="I286" s="2">
        <v>-1.1200201351934501E-2</v>
      </c>
      <c r="J286" s="2">
        <v>-1.1178292287273277E-2</v>
      </c>
      <c r="K286">
        <v>-1.1238107400549173E-2</v>
      </c>
      <c r="L286">
        <v>-1.1181174023272511E-2</v>
      </c>
    </row>
    <row r="287" spans="1:12" x14ac:dyDescent="0.25">
      <c r="B287" s="2" t="s">
        <v>102</v>
      </c>
      <c r="C287" s="3">
        <v>45915</v>
      </c>
      <c r="D287" s="2">
        <v>0.6</v>
      </c>
      <c r="E287" s="2">
        <v>0.14000000000000001</v>
      </c>
      <c r="F287" s="2">
        <v>0.26</v>
      </c>
      <c r="G287">
        <v>-3.6840240874774555E-2</v>
      </c>
      <c r="H287" s="2">
        <v>-3.504763526618037E-2</v>
      </c>
      <c r="I287" s="2">
        <v>-3.5044817366957005E-2</v>
      </c>
      <c r="J287" s="2">
        <v>-3.5047425878422633E-2</v>
      </c>
      <c r="K287">
        <v>-3.5001614465611897E-2</v>
      </c>
      <c r="L287">
        <v>-3.5040431266846299E-2</v>
      </c>
    </row>
    <row r="288" spans="1:12" x14ac:dyDescent="0.25">
      <c r="B288" s="2" t="s">
        <v>102</v>
      </c>
      <c r="C288" s="3">
        <v>45929</v>
      </c>
      <c r="D288" s="2">
        <v>0.6</v>
      </c>
      <c r="E288" s="2">
        <v>0.2</v>
      </c>
      <c r="F288" s="2">
        <v>0.2</v>
      </c>
      <c r="G288">
        <v>1.3240161823481623E-2</v>
      </c>
      <c r="H288" s="2">
        <v>1.7976459514973748E-2</v>
      </c>
      <c r="I288" s="2">
        <v>1.7975072305387925E-2</v>
      </c>
      <c r="J288" s="2">
        <v>1.7959259373744256E-2</v>
      </c>
      <c r="K288">
        <v>1.7934818978786012E-2</v>
      </c>
      <c r="L288">
        <v>1.798610164872597E-2</v>
      </c>
    </row>
    <row r="289" spans="1:12" x14ac:dyDescent="0.25">
      <c r="B289" s="2" t="s">
        <v>102</v>
      </c>
      <c r="C289" s="3">
        <v>45943</v>
      </c>
      <c r="D289" s="2">
        <v>0.68</v>
      </c>
      <c r="E289" s="2">
        <v>0.1</v>
      </c>
      <c r="F289" s="2">
        <v>0.22</v>
      </c>
      <c r="G289">
        <v>-9.80036297588174E-3</v>
      </c>
      <c r="H289" s="2">
        <v>-1.6936664483568859E-2</v>
      </c>
      <c r="I289" s="2">
        <v>-1.693581972143814E-2</v>
      </c>
      <c r="J289" s="2">
        <v>-1.6944005830195577E-2</v>
      </c>
      <c r="K289">
        <v>-1.6895667608967088E-2</v>
      </c>
      <c r="L289">
        <v>-1.6932137598714949E-2</v>
      </c>
    </row>
    <row r="290" spans="1:12" x14ac:dyDescent="0.25">
      <c r="A290" t="s">
        <v>103</v>
      </c>
      <c r="B290" s="2" t="s">
        <v>104</v>
      </c>
      <c r="C290" s="3">
        <v>45873</v>
      </c>
      <c r="D290" s="2">
        <v>0.59</v>
      </c>
      <c r="E290" s="2">
        <v>0.15</v>
      </c>
      <c r="F290" s="2">
        <v>0.26</v>
      </c>
      <c r="G290">
        <v>5.034722222267906E-2</v>
      </c>
      <c r="H290" s="2">
        <v>6.1830487773847968E-2</v>
      </c>
      <c r="I290" s="2">
        <v>6.1849944461274391E-2</v>
      </c>
      <c r="J290" s="2">
        <v>6.176512253860332E-2</v>
      </c>
      <c r="K290">
        <v>6.1829750115449653E-2</v>
      </c>
      <c r="L290">
        <v>6.1817062535268981E-2</v>
      </c>
    </row>
    <row r="291" spans="1:12" x14ac:dyDescent="0.25">
      <c r="B291" s="2" t="s">
        <v>104</v>
      </c>
      <c r="C291" s="3">
        <v>45887</v>
      </c>
      <c r="D291" s="2">
        <v>0.56000000000000005</v>
      </c>
      <c r="E291" s="2">
        <v>0.19</v>
      </c>
      <c r="F291" s="2">
        <v>0.25</v>
      </c>
      <c r="G291">
        <v>6.6115702469943449E-3</v>
      </c>
      <c r="H291" s="2">
        <v>4.9962857348254917E-3</v>
      </c>
      <c r="I291" s="2">
        <v>4.9807427131377553E-3</v>
      </c>
      <c r="J291" s="2">
        <v>5.0700466977984179E-3</v>
      </c>
      <c r="K291">
        <v>5.0256112882962152E-3</v>
      </c>
      <c r="L291">
        <v>5.0246400618418141E-3</v>
      </c>
    </row>
    <row r="292" spans="1:12" x14ac:dyDescent="0.25">
      <c r="B292" s="2" t="s">
        <v>104</v>
      </c>
      <c r="C292" s="3">
        <v>45901</v>
      </c>
      <c r="D292" s="2">
        <v>0.7</v>
      </c>
      <c r="E292" s="2">
        <v>0.13</v>
      </c>
      <c r="F292" s="2">
        <v>0.17</v>
      </c>
      <c r="G292">
        <v>2.1346469622394549E-2</v>
      </c>
      <c r="H292" s="2">
        <v>3.3107213962970394E-2</v>
      </c>
      <c r="I292" s="2">
        <v>2.0119938965969943E-2</v>
      </c>
      <c r="J292" s="2">
        <v>6.2392141245188344E-3</v>
      </c>
      <c r="K292">
        <v>3.3080103856139999E-2</v>
      </c>
      <c r="L292">
        <v>2.5093740986443621E-2</v>
      </c>
    </row>
    <row r="293" spans="1:12" x14ac:dyDescent="0.25">
      <c r="B293" s="2" t="s">
        <v>104</v>
      </c>
      <c r="C293" s="3">
        <v>45915</v>
      </c>
      <c r="D293" s="2">
        <v>0.69</v>
      </c>
      <c r="E293" s="2">
        <v>0.13</v>
      </c>
      <c r="F293" s="2">
        <v>0.18</v>
      </c>
      <c r="G293">
        <v>-6.270096463040585E-2</v>
      </c>
      <c r="H293" s="2">
        <v>-4.9679191285081283E-2</v>
      </c>
      <c r="I293" s="2">
        <v>-4.9673020731876988E-2</v>
      </c>
      <c r="J293" s="2">
        <v>-4.9736147757255877E-2</v>
      </c>
      <c r="K293">
        <v>-4.9660243879735645E-2</v>
      </c>
      <c r="L293">
        <v>-4.9662352279122163E-2</v>
      </c>
    </row>
    <row r="294" spans="1:12" x14ac:dyDescent="0.25">
      <c r="B294" s="2" t="s">
        <v>104</v>
      </c>
      <c r="C294" s="3">
        <v>45929</v>
      </c>
      <c r="D294" s="2">
        <v>0.71</v>
      </c>
      <c r="E294" s="2">
        <v>0.15</v>
      </c>
      <c r="F294" s="2">
        <v>0.14000000000000001</v>
      </c>
      <c r="G294">
        <v>-3.7735849056280364E-2</v>
      </c>
      <c r="H294" s="2">
        <v>-4.5524644509477651E-2</v>
      </c>
      <c r="I294" s="2">
        <v>-4.553440702781842E-2</v>
      </c>
      <c r="J294" s="2">
        <v>-4.5536581979730734E-2</v>
      </c>
      <c r="K294">
        <v>-4.5545815172143574E-2</v>
      </c>
      <c r="L294">
        <v>-4.5546508758944018E-2</v>
      </c>
    </row>
    <row r="295" spans="1:12" x14ac:dyDescent="0.25">
      <c r="B295" s="2" t="s">
        <v>104</v>
      </c>
      <c r="C295" s="3">
        <v>45943</v>
      </c>
      <c r="D295" s="2">
        <v>0.68</v>
      </c>
      <c r="E295" s="2">
        <v>0.15</v>
      </c>
      <c r="F295" s="2">
        <v>0.17</v>
      </c>
      <c r="G295">
        <v>6.7736185383315675E-2</v>
      </c>
      <c r="H295" s="2">
        <v>5.8293682094603269E-2</v>
      </c>
      <c r="I295" s="2">
        <v>5.8303932095924757E-2</v>
      </c>
      <c r="J295" s="2">
        <v>5.8327272727272762E-2</v>
      </c>
      <c r="K295">
        <v>5.8340602391092476E-2</v>
      </c>
      <c r="L295">
        <v>5.8318684727536055E-2</v>
      </c>
    </row>
    <row r="296" spans="1:12" x14ac:dyDescent="0.25">
      <c r="A296" t="s">
        <v>105</v>
      </c>
      <c r="B296" s="2" t="s">
        <v>106</v>
      </c>
      <c r="C296" s="3">
        <v>45873</v>
      </c>
      <c r="D296" s="2">
        <v>0.52</v>
      </c>
      <c r="E296" s="2">
        <v>0.3</v>
      </c>
      <c r="F296" s="2">
        <v>0.18</v>
      </c>
      <c r="G296">
        <v>6.2877871807309887E-3</v>
      </c>
      <c r="H296" s="2">
        <v>1.3321333472174705E-2</v>
      </c>
      <c r="I296" s="2">
        <v>1.3325090497400431E-2</v>
      </c>
      <c r="J296" s="2">
        <v>0.17112551235183343</v>
      </c>
      <c r="K296">
        <v>1.3330118489942118E-2</v>
      </c>
      <c r="L296">
        <v>1.3330794134450728E-2</v>
      </c>
    </row>
    <row r="297" spans="1:12" x14ac:dyDescent="0.25">
      <c r="B297" s="2" t="s">
        <v>106</v>
      </c>
      <c r="C297" s="3">
        <v>45887</v>
      </c>
      <c r="D297" s="2">
        <v>0.57999999999999996</v>
      </c>
      <c r="E297" s="2">
        <v>0.22</v>
      </c>
      <c r="F297" s="2">
        <v>0.2</v>
      </c>
      <c r="G297">
        <v>8.8280060888151698E-2</v>
      </c>
      <c r="H297" s="2">
        <v>0.10016368534245478</v>
      </c>
      <c r="I297" s="2">
        <v>0.10016391394150553</v>
      </c>
      <c r="J297" s="2">
        <v>0.10017262988625356</v>
      </c>
      <c r="K297">
        <v>0.10015636153506233</v>
      </c>
      <c r="L297">
        <v>0.10015205617536004</v>
      </c>
    </row>
    <row r="298" spans="1:12" x14ac:dyDescent="0.25">
      <c r="B298" s="2" t="s">
        <v>106</v>
      </c>
      <c r="C298" s="3">
        <v>45901</v>
      </c>
      <c r="D298" s="2">
        <v>0.56000000000000005</v>
      </c>
      <c r="E298" s="2">
        <v>0.17</v>
      </c>
      <c r="F298" s="2">
        <v>0.27</v>
      </c>
      <c r="G298">
        <v>2.3923444972272109E-2</v>
      </c>
      <c r="H298" s="2">
        <v>1.3190288424971433E-2</v>
      </c>
      <c r="I298" s="2">
        <v>4.283309058353487E-2</v>
      </c>
      <c r="J298" s="2">
        <v>0.10549620617758941</v>
      </c>
      <c r="K298">
        <v>1.3193060511965027E-2</v>
      </c>
      <c r="L298">
        <v>3.3466370568229396E-2</v>
      </c>
    </row>
    <row r="299" spans="1:12" x14ac:dyDescent="0.25">
      <c r="B299" s="2" t="s">
        <v>106</v>
      </c>
      <c r="C299" s="3">
        <v>45915</v>
      </c>
      <c r="D299" s="2">
        <v>0.6</v>
      </c>
      <c r="E299" s="2">
        <v>0.19</v>
      </c>
      <c r="F299" s="2">
        <v>0.21</v>
      </c>
      <c r="G299">
        <v>-4.342199856166306E-2</v>
      </c>
      <c r="H299" s="2">
        <v>-8.2154616093770602E-2</v>
      </c>
      <c r="I299" s="2">
        <v>-8.2160361341576657E-2</v>
      </c>
      <c r="J299" s="2">
        <v>-8.214889852423625E-2</v>
      </c>
      <c r="K299">
        <v>-8.21529313105131E-2</v>
      </c>
      <c r="L299">
        <v>-8.2166255935565341E-2</v>
      </c>
    </row>
    <row r="300" spans="1:12" x14ac:dyDescent="0.25">
      <c r="B300" s="2" t="s">
        <v>106</v>
      </c>
      <c r="C300" s="3">
        <v>45929</v>
      </c>
      <c r="D300" s="2">
        <v>0.63</v>
      </c>
      <c r="E300" s="2">
        <v>0.14000000000000001</v>
      </c>
      <c r="F300" s="2">
        <v>0.23</v>
      </c>
      <c r="G300">
        <v>-4.3288741919548013E-2</v>
      </c>
      <c r="H300" s="2">
        <v>1.0108764277104994E-2</v>
      </c>
      <c r="I300" s="2">
        <v>1.0114406572619191E-2</v>
      </c>
      <c r="J300" s="2">
        <v>1.0104647714273577E-2</v>
      </c>
      <c r="K300">
        <v>1.0116783228399968E-2</v>
      </c>
      <c r="L300">
        <v>1.0117878192534504E-2</v>
      </c>
    </row>
    <row r="301" spans="1:12" x14ac:dyDescent="0.25">
      <c r="B301" s="2" t="s">
        <v>106</v>
      </c>
      <c r="C301" s="3">
        <v>45943</v>
      </c>
      <c r="D301" s="2">
        <v>0.61</v>
      </c>
      <c r="E301" s="2">
        <v>0.18</v>
      </c>
      <c r="F301" s="2">
        <v>0.21</v>
      </c>
      <c r="G301">
        <v>2.3095051061435369E-2</v>
      </c>
      <c r="H301" s="2">
        <v>1.0632630883637629E-2</v>
      </c>
      <c r="I301" s="2">
        <v>1.0628152857439042E-2</v>
      </c>
      <c r="J301" s="2">
        <v>1.0632720256695252E-2</v>
      </c>
      <c r="K301">
        <v>1.0623951583725363E-2</v>
      </c>
      <c r="L301">
        <v>1.0632435411196453E-2</v>
      </c>
    </row>
    <row r="302" spans="1:12" x14ac:dyDescent="0.25">
      <c r="A302" t="s">
        <v>107</v>
      </c>
      <c r="B302" s="2" t="s">
        <v>108</v>
      </c>
      <c r="C302" s="3">
        <v>45873</v>
      </c>
      <c r="D302" s="2">
        <v>0.64</v>
      </c>
      <c r="E302" s="2">
        <v>0.08</v>
      </c>
      <c r="F302" s="2">
        <v>0.28000000000000003</v>
      </c>
      <c r="G302">
        <v>8.3965604454388484E-2</v>
      </c>
      <c r="H302" s="2">
        <v>9.6271535098997232E-2</v>
      </c>
      <c r="I302" s="2">
        <v>9.6268802864843128E-2</v>
      </c>
      <c r="J302" s="2">
        <v>0.11867250862310055</v>
      </c>
      <c r="K302">
        <v>9.6267827375439874E-2</v>
      </c>
      <c r="L302">
        <v>9.6263843251794878E-2</v>
      </c>
    </row>
    <row r="303" spans="1:12" x14ac:dyDescent="0.25">
      <c r="B303" s="2" t="s">
        <v>108</v>
      </c>
      <c r="C303" s="3">
        <v>45887</v>
      </c>
      <c r="D303" s="2">
        <v>0.65</v>
      </c>
      <c r="E303" s="2">
        <v>0.12</v>
      </c>
      <c r="F303" s="2">
        <v>0.23</v>
      </c>
      <c r="G303">
        <v>-3.7330844637205661E-3</v>
      </c>
      <c r="H303" s="2">
        <v>-3.2212162436865647E-3</v>
      </c>
      <c r="I303" s="2">
        <v>-3.2155434949045309E-3</v>
      </c>
      <c r="J303" s="2">
        <v>-3.2500000000000124E-3</v>
      </c>
      <c r="K303">
        <v>-3.2101372756072021E-3</v>
      </c>
      <c r="L303">
        <v>-3.2193605683836497E-3</v>
      </c>
    </row>
    <row r="304" spans="1:12" x14ac:dyDescent="0.25">
      <c r="B304" s="2" t="s">
        <v>108</v>
      </c>
      <c r="C304" s="3">
        <v>45901</v>
      </c>
      <c r="D304" s="2">
        <v>0.63</v>
      </c>
      <c r="E304" s="2">
        <v>0.08</v>
      </c>
      <c r="F304" s="2">
        <v>0.28999999999999998</v>
      </c>
      <c r="G304">
        <v>-3.7049118868420078E-2</v>
      </c>
      <c r="H304" s="2">
        <v>-4.1556200486312637E-2</v>
      </c>
      <c r="I304" s="2">
        <v>-8.9916023759131519E-2</v>
      </c>
      <c r="J304" s="2">
        <v>-5.9944820667168199E-2</v>
      </c>
      <c r="K304">
        <v>-4.1569558032120035E-2</v>
      </c>
      <c r="L304">
        <v>3.8177970820804152E-2</v>
      </c>
    </row>
    <row r="305" spans="1:12" x14ac:dyDescent="0.25">
      <c r="B305" s="2" t="s">
        <v>108</v>
      </c>
      <c r="C305" s="3">
        <v>45915</v>
      </c>
      <c r="D305" s="2">
        <v>0.62</v>
      </c>
      <c r="E305" s="2">
        <v>0.08</v>
      </c>
      <c r="F305" s="2">
        <v>0.3</v>
      </c>
      <c r="G305">
        <v>5.8852140077548513E-2</v>
      </c>
      <c r="H305" s="2">
        <v>-4.7646327091789988E-2</v>
      </c>
      <c r="I305" s="2">
        <v>-4.7646286571642806E-2</v>
      </c>
      <c r="J305" s="2">
        <v>-4.7669868374244119E-2</v>
      </c>
      <c r="K305">
        <v>-4.7639048545406418E-2</v>
      </c>
      <c r="L305">
        <v>-4.7630285996266716E-2</v>
      </c>
    </row>
    <row r="306" spans="1:12" x14ac:dyDescent="0.25">
      <c r="B306" s="2" t="s">
        <v>108</v>
      </c>
      <c r="C306" s="3">
        <v>45929</v>
      </c>
      <c r="D306" s="2">
        <v>0.74</v>
      </c>
      <c r="E306" s="2">
        <v>0.09</v>
      </c>
      <c r="F306" s="2">
        <v>0.17</v>
      </c>
      <c r="G306">
        <v>3.2154340835031117E-2</v>
      </c>
      <c r="H306" s="2">
        <v>0.17231245166279971</v>
      </c>
      <c r="I306" s="2">
        <v>0.17231363050049722</v>
      </c>
      <c r="J306" s="2">
        <v>0.17230108330220406</v>
      </c>
      <c r="K306">
        <v>0.17230333557716865</v>
      </c>
      <c r="L306">
        <v>0.17229493793507403</v>
      </c>
    </row>
    <row r="307" spans="1:12" x14ac:dyDescent="0.25">
      <c r="B307" s="2" t="s">
        <v>108</v>
      </c>
      <c r="C307" s="3">
        <v>45943</v>
      </c>
      <c r="D307" s="2">
        <v>0.63</v>
      </c>
      <c r="E307" s="2">
        <v>0.11</v>
      </c>
      <c r="F307" s="2">
        <v>0.26</v>
      </c>
      <c r="G307">
        <v>-2.9817534487436671E-2</v>
      </c>
      <c r="H307" s="2">
        <v>-6.0349503745730268E-2</v>
      </c>
      <c r="I307" s="2">
        <v>-6.0348230709144253E-2</v>
      </c>
      <c r="J307" s="2">
        <v>-6.0304309726758619E-2</v>
      </c>
      <c r="K307">
        <v>-6.0331854902581881E-2</v>
      </c>
      <c r="L307">
        <v>-6.034167995849108E-2</v>
      </c>
    </row>
    <row r="308" spans="1:12" x14ac:dyDescent="0.25">
      <c r="A308" t="s">
        <v>109</v>
      </c>
      <c r="B308" s="2" t="s">
        <v>110</v>
      </c>
      <c r="C308" s="3">
        <v>45873</v>
      </c>
      <c r="D308" s="2">
        <v>0.79</v>
      </c>
      <c r="E308" s="2">
        <v>0.04</v>
      </c>
      <c r="F308" s="2">
        <v>0.17</v>
      </c>
      <c r="G308">
        <v>5.0752537627983853E-2</v>
      </c>
      <c r="H308" s="2">
        <v>1.545858845128925E-2</v>
      </c>
      <c r="I308" s="2">
        <v>-2.254545781955538E-2</v>
      </c>
      <c r="J308" s="2">
        <v>-2.4975445488985538E-2</v>
      </c>
      <c r="K308">
        <v>1.5451323170102262E-2</v>
      </c>
      <c r="L308">
        <v>1.6611180468858469E-2</v>
      </c>
    </row>
    <row r="309" spans="1:12" x14ac:dyDescent="0.25">
      <c r="B309" s="2" t="s">
        <v>110</v>
      </c>
      <c r="C309" s="3">
        <v>45887</v>
      </c>
      <c r="D309" s="2">
        <v>0.82</v>
      </c>
      <c r="E309" s="2">
        <v>0.04</v>
      </c>
      <c r="F309" s="2">
        <v>0.14000000000000001</v>
      </c>
      <c r="G309">
        <v>3.7641572283707202E-2</v>
      </c>
      <c r="H309" s="2">
        <v>5.4464070213933048E-2</v>
      </c>
      <c r="I309" s="2">
        <v>5.4467324671496578E-2</v>
      </c>
      <c r="J309" s="2">
        <v>5.4482659375449778E-2</v>
      </c>
      <c r="K309">
        <v>5.445980750982779E-2</v>
      </c>
      <c r="L309">
        <v>5.444311785775191E-2</v>
      </c>
    </row>
    <row r="310" spans="1:12" x14ac:dyDescent="0.25">
      <c r="B310" s="2" t="s">
        <v>110</v>
      </c>
      <c r="C310" s="3">
        <v>45901</v>
      </c>
      <c r="D310" s="2">
        <v>0.82</v>
      </c>
      <c r="E310" s="2">
        <v>0.04</v>
      </c>
      <c r="F310" s="2">
        <v>0.14000000000000001</v>
      </c>
      <c r="G310">
        <v>-2.8431128734825353E-2</v>
      </c>
      <c r="H310" s="2">
        <v>-2.0775242835620961E-2</v>
      </c>
      <c r="I310" s="2">
        <v>-2.0777734584860243E-2</v>
      </c>
      <c r="J310" s="2">
        <v>5.185872591298565E-3</v>
      </c>
      <c r="K310">
        <v>-2.079382934276065E-2</v>
      </c>
      <c r="L310">
        <v>-2.0769305425253157E-2</v>
      </c>
    </row>
    <row r="311" spans="1:12" x14ac:dyDescent="0.25">
      <c r="B311" s="2" t="s">
        <v>110</v>
      </c>
      <c r="C311" s="3">
        <v>45915</v>
      </c>
      <c r="D311" s="2">
        <v>0.92</v>
      </c>
      <c r="E311" s="2">
        <v>0.04</v>
      </c>
      <c r="F311" s="2">
        <v>0.04</v>
      </c>
      <c r="G311">
        <v>2.3942276154284656E-2</v>
      </c>
      <c r="H311" s="2">
        <v>-2.924001462000711E-3</v>
      </c>
      <c r="I311" s="2">
        <v>-2.9260894776751809E-3</v>
      </c>
      <c r="J311" s="2">
        <v>-2.9325513196480123E-3</v>
      </c>
      <c r="K311">
        <v>-2.9210975449652518E-3</v>
      </c>
      <c r="L311">
        <v>-2.9072648584359969E-3</v>
      </c>
    </row>
    <row r="312" spans="1:12" x14ac:dyDescent="0.25">
      <c r="B312" s="2" t="s">
        <v>110</v>
      </c>
      <c r="C312" s="3">
        <v>45929</v>
      </c>
      <c r="D312" s="2">
        <v>0.92</v>
      </c>
      <c r="E312" s="2">
        <v>0.05</v>
      </c>
      <c r="F312" s="2">
        <v>0.03</v>
      </c>
      <c r="G312">
        <v>6.8545803971812966E-2</v>
      </c>
      <c r="H312" s="2">
        <v>0.10599899405812294</v>
      </c>
      <c r="I312" s="2">
        <v>0.10600177154258406</v>
      </c>
      <c r="J312" s="2">
        <v>0.16165577342047927</v>
      </c>
      <c r="K312">
        <v>0.10602718983508339</v>
      </c>
      <c r="L312">
        <v>0.10599383718233328</v>
      </c>
    </row>
    <row r="313" spans="1:12" x14ac:dyDescent="0.25">
      <c r="B313" s="2" t="s">
        <v>110</v>
      </c>
      <c r="C313" s="3">
        <v>45943</v>
      </c>
      <c r="D313" s="2">
        <v>0.79</v>
      </c>
      <c r="E313" s="2">
        <v>0.09</v>
      </c>
      <c r="F313" s="2">
        <v>0.12</v>
      </c>
      <c r="G313">
        <v>-2.0983213412902879E-3</v>
      </c>
      <c r="H313" s="2">
        <v>-1.8283142048914316E-2</v>
      </c>
      <c r="I313" s="2">
        <v>-6.4296664226284161E-2</v>
      </c>
      <c r="J313" s="2">
        <v>-4.2854463615904045E-2</v>
      </c>
      <c r="K313">
        <v>-1.8303571428571329E-2</v>
      </c>
      <c r="L313">
        <v>-1.9952067106051592E-2</v>
      </c>
    </row>
    <row r="314" spans="1:12" x14ac:dyDescent="0.25">
      <c r="A314" t="s">
        <v>111</v>
      </c>
      <c r="B314" s="2" t="s">
        <v>112</v>
      </c>
      <c r="C314" s="3">
        <v>45873</v>
      </c>
      <c r="D314" s="2">
        <v>0.72</v>
      </c>
      <c r="E314" s="2">
        <v>0.13</v>
      </c>
      <c r="F314" s="2">
        <v>0.15</v>
      </c>
      <c r="G314">
        <v>3.7593984959919634E-2</v>
      </c>
      <c r="H314" s="2">
        <v>1.5032899737236491E-2</v>
      </c>
      <c r="I314" s="2">
        <v>-1.2982995038837675E-3</v>
      </c>
      <c r="J314" s="2">
        <v>-9.0547263681590908E-3</v>
      </c>
      <c r="K314">
        <v>1.4991801358632038E-2</v>
      </c>
      <c r="L314">
        <v>1.7743080198722512E-2</v>
      </c>
    </row>
    <row r="315" spans="1:12" x14ac:dyDescent="0.25">
      <c r="B315" s="2" t="s">
        <v>112</v>
      </c>
      <c r="C315" s="3">
        <v>45887</v>
      </c>
      <c r="D315" s="2">
        <v>0.77</v>
      </c>
      <c r="E315" s="2">
        <v>0.11</v>
      </c>
      <c r="F315" s="2">
        <v>0.12</v>
      </c>
      <c r="G315">
        <v>3.2608695652992785E-2</v>
      </c>
      <c r="H315" s="2">
        <v>5.5555852699703076E-2</v>
      </c>
      <c r="I315" s="2">
        <v>5.5556477532347388E-2</v>
      </c>
      <c r="J315" s="2">
        <v>5.5527663420021994E-2</v>
      </c>
      <c r="K315">
        <v>5.5619663051003819E-2</v>
      </c>
      <c r="L315">
        <v>5.5555555555555497E-2</v>
      </c>
    </row>
    <row r="316" spans="1:12" x14ac:dyDescent="0.25">
      <c r="B316" s="2" t="s">
        <v>112</v>
      </c>
      <c r="C316" s="3">
        <v>45901</v>
      </c>
      <c r="D316" s="2">
        <v>0.63</v>
      </c>
      <c r="E316" s="2">
        <v>0.17</v>
      </c>
      <c r="F316" s="2">
        <v>0.2</v>
      </c>
      <c r="G316">
        <v>-2.1052631577588833E-2</v>
      </c>
      <c r="H316" s="2">
        <v>-3.5064250678989114E-3</v>
      </c>
      <c r="I316" s="2">
        <v>-3.5112727577641147E-3</v>
      </c>
      <c r="J316" s="2">
        <v>-3.5197869101976928E-3</v>
      </c>
      <c r="K316">
        <v>-3.4980323567992792E-3</v>
      </c>
      <c r="L316">
        <v>-3.5234529839242245E-3</v>
      </c>
    </row>
    <row r="317" spans="1:12" x14ac:dyDescent="0.25">
      <c r="B317" s="2" t="s">
        <v>112</v>
      </c>
      <c r="C317" s="3">
        <v>45915</v>
      </c>
      <c r="D317" s="2">
        <v>0.76</v>
      </c>
      <c r="E317" s="2">
        <v>0.12</v>
      </c>
      <c r="F317" s="2">
        <v>0.12</v>
      </c>
      <c r="G317">
        <v>-2.150537634840043E-2</v>
      </c>
      <c r="H317" s="2">
        <v>-4.7533814705583197E-2</v>
      </c>
      <c r="I317" s="2">
        <v>-4.7532396499494957E-2</v>
      </c>
      <c r="J317" s="2">
        <v>-4.7541766109785263E-2</v>
      </c>
      <c r="K317">
        <v>-4.7389205792014062E-2</v>
      </c>
      <c r="L317">
        <v>-4.7513812154696175E-2</v>
      </c>
    </row>
    <row r="318" spans="1:12" x14ac:dyDescent="0.25">
      <c r="B318" s="2" t="s">
        <v>112</v>
      </c>
      <c r="C318" s="3">
        <v>45929</v>
      </c>
      <c r="D318" s="2">
        <v>0.67</v>
      </c>
      <c r="E318" s="2">
        <v>0.14000000000000001</v>
      </c>
      <c r="F318" s="2">
        <v>0.19</v>
      </c>
      <c r="G318">
        <v>1.2820512821188722E-2</v>
      </c>
      <c r="H318" s="2">
        <v>2.2176902707781571E-2</v>
      </c>
      <c r="I318" s="2">
        <v>2.2180380550616663E-2</v>
      </c>
      <c r="J318" s="2">
        <v>2.2251177708730075E-2</v>
      </c>
      <c r="K318">
        <v>2.2109626900046059E-2</v>
      </c>
      <c r="L318">
        <v>2.2041763341067305E-2</v>
      </c>
    </row>
    <row r="319" spans="1:12" x14ac:dyDescent="0.25">
      <c r="B319" s="2" t="s">
        <v>112</v>
      </c>
      <c r="C319" s="3">
        <v>45943</v>
      </c>
      <c r="D319" s="2">
        <v>0.49</v>
      </c>
      <c r="E319" s="2">
        <v>0.16</v>
      </c>
      <c r="F319" s="2">
        <v>0.35</v>
      </c>
      <c r="G319">
        <v>-1.8083182636128441E-2</v>
      </c>
      <c r="H319" s="2">
        <v>-1.8081539281125613E-2</v>
      </c>
      <c r="I319" s="2">
        <v>-3.097400106955913E-2</v>
      </c>
      <c r="J319" s="2">
        <v>-1.1863908226296694E-2</v>
      </c>
      <c r="K319">
        <v>-1.8026137899954827E-2</v>
      </c>
      <c r="L319">
        <v>-1.7934165720771892E-2</v>
      </c>
    </row>
    <row r="320" spans="1:12" x14ac:dyDescent="0.25">
      <c r="A320" t="s">
        <v>113</v>
      </c>
      <c r="B320" s="2" t="s">
        <v>114</v>
      </c>
      <c r="C320" s="3">
        <v>45873</v>
      </c>
      <c r="D320" s="2">
        <v>0.66</v>
      </c>
      <c r="E320" s="2">
        <v>0.11</v>
      </c>
      <c r="F320" s="2">
        <v>0.23</v>
      </c>
      <c r="G320">
        <v>1.7419354838904139E-2</v>
      </c>
      <c r="H320" s="2">
        <v>3.4089493484814506E-2</v>
      </c>
      <c r="I320" s="2">
        <v>3.4090030229766394E-2</v>
      </c>
      <c r="J320" s="2">
        <v>3.409574015814977E-2</v>
      </c>
      <c r="K320">
        <v>3.4089580568182558E-2</v>
      </c>
      <c r="L320">
        <v>3.40906645240436E-2</v>
      </c>
    </row>
    <row r="321" spans="1:12" x14ac:dyDescent="0.25">
      <c r="B321" s="2" t="s">
        <v>114</v>
      </c>
      <c r="C321" s="3">
        <v>45887</v>
      </c>
      <c r="D321" s="2">
        <v>0.73</v>
      </c>
      <c r="E321" s="2">
        <v>0.09</v>
      </c>
      <c r="F321" s="2">
        <v>0.18</v>
      </c>
      <c r="G321">
        <v>8.3544705136366595E-2</v>
      </c>
      <c r="H321" s="2">
        <v>4.4637425385945069E-2</v>
      </c>
      <c r="I321" s="2">
        <v>-2.8259307312853876E-2</v>
      </c>
      <c r="J321" s="2">
        <v>3.0354108425149344E-2</v>
      </c>
      <c r="K321">
        <v>4.4637156841881298E-2</v>
      </c>
      <c r="L321">
        <v>1.1634118422421864E-2</v>
      </c>
    </row>
    <row r="322" spans="1:12" x14ac:dyDescent="0.25">
      <c r="B322" s="2" t="s">
        <v>114</v>
      </c>
      <c r="C322" s="3">
        <v>45901</v>
      </c>
      <c r="D322" s="2">
        <v>0.71</v>
      </c>
      <c r="E322" s="2">
        <v>0.1</v>
      </c>
      <c r="F322" s="2">
        <v>0.19</v>
      </c>
      <c r="G322">
        <v>1.097293342976584E-2</v>
      </c>
      <c r="H322" s="2">
        <v>4.1974724927817474E-2</v>
      </c>
      <c r="I322" s="2">
        <v>4.197445760474381E-2</v>
      </c>
      <c r="J322" s="2">
        <v>4.1975341481905099E-2</v>
      </c>
      <c r="K322">
        <v>4.197224344283168E-2</v>
      </c>
      <c r="L322">
        <v>4.1975833550493058E-2</v>
      </c>
    </row>
    <row r="323" spans="1:12" x14ac:dyDescent="0.25">
      <c r="B323" s="2" t="s">
        <v>114</v>
      </c>
      <c r="C323" s="3">
        <v>45915</v>
      </c>
      <c r="D323" s="2">
        <v>0.7</v>
      </c>
      <c r="E323" s="2">
        <v>0.12</v>
      </c>
      <c r="F323" s="2">
        <v>0.18</v>
      </c>
      <c r="G323">
        <v>1.4471780042039054E-3</v>
      </c>
      <c r="H323" s="2">
        <v>1.5503993935084366E-2</v>
      </c>
      <c r="I323" s="2">
        <v>1.5505170531183681E-2</v>
      </c>
      <c r="J323" s="2">
        <v>1.5508724455280008E-2</v>
      </c>
      <c r="K323">
        <v>1.5506528260617099E-2</v>
      </c>
      <c r="L323">
        <v>1.5505814680505176E-2</v>
      </c>
    </row>
    <row r="324" spans="1:12" x14ac:dyDescent="0.25">
      <c r="B324" s="2" t="s">
        <v>114</v>
      </c>
      <c r="C324" s="3">
        <v>45929</v>
      </c>
      <c r="D324" s="2">
        <v>0.69</v>
      </c>
      <c r="E324" s="2">
        <v>0.08</v>
      </c>
      <c r="F324" s="2">
        <v>0.23</v>
      </c>
      <c r="G324">
        <v>-3.2080924854867757E-2</v>
      </c>
      <c r="H324" s="2">
        <v>-2.6826400818469522E-2</v>
      </c>
      <c r="I324" s="2">
        <v>-2.6825697009563332E-2</v>
      </c>
      <c r="J324" s="2">
        <v>-2.6823198169888637E-2</v>
      </c>
      <c r="K324">
        <v>-2.6827345963865101E-2</v>
      </c>
      <c r="L324">
        <v>-2.6824541960738562E-2</v>
      </c>
    </row>
    <row r="325" spans="1:12" x14ac:dyDescent="0.25">
      <c r="B325" s="2" t="s">
        <v>114</v>
      </c>
      <c r="C325" s="3">
        <v>45943</v>
      </c>
      <c r="D325" s="2">
        <v>0.75</v>
      </c>
      <c r="E325" s="2">
        <v>0.1</v>
      </c>
      <c r="F325" s="2">
        <v>0.15</v>
      </c>
      <c r="G325">
        <v>-2.2096148104967468E-2</v>
      </c>
      <c r="H325" s="2">
        <v>-3.9589227295442952E-2</v>
      </c>
      <c r="I325" s="2">
        <v>-3.9590479177058754E-2</v>
      </c>
      <c r="J325" s="2">
        <v>-3.9587208100847253E-2</v>
      </c>
      <c r="K325">
        <v>-3.9591473366635321E-2</v>
      </c>
      <c r="L325">
        <v>-3.9591102823654772E-2</v>
      </c>
    </row>
    <row r="326" spans="1:12" x14ac:dyDescent="0.25">
      <c r="A326" t="s">
        <v>115</v>
      </c>
      <c r="B326" s="2" t="s">
        <v>116</v>
      </c>
      <c r="C326" s="3">
        <v>45873</v>
      </c>
      <c r="D326" s="2">
        <v>0.65</v>
      </c>
      <c r="E326" s="2">
        <v>0.13</v>
      </c>
      <c r="F326" s="2">
        <v>0.22</v>
      </c>
      <c r="G326">
        <v>-2.0442930147852523E-2</v>
      </c>
      <c r="H326" s="2">
        <v>-2.5708736778862597E-3</v>
      </c>
      <c r="I326" s="2">
        <v>-2.5651988029073225E-3</v>
      </c>
      <c r="J326" s="2">
        <v>-2.5858015984955096E-3</v>
      </c>
      <c r="K326">
        <v>-2.5414287703661963E-3</v>
      </c>
      <c r="L326">
        <v>-2.5853520328657964E-3</v>
      </c>
    </row>
    <row r="327" spans="1:12" x14ac:dyDescent="0.25">
      <c r="B327" s="2" t="s">
        <v>116</v>
      </c>
      <c r="C327" s="3">
        <v>45887</v>
      </c>
      <c r="D327" s="2">
        <v>0.35</v>
      </c>
      <c r="E327" s="2">
        <v>0.37</v>
      </c>
      <c r="F327" s="2">
        <v>0.28000000000000003</v>
      </c>
      <c r="G327">
        <v>-5.304347826455133E-2</v>
      </c>
      <c r="H327" s="2">
        <v>-4.5498480115427141E-2</v>
      </c>
      <c r="I327" s="2">
        <v>-7.351050150021432E-2</v>
      </c>
      <c r="J327" s="2">
        <v>-9.014847984916334E-2</v>
      </c>
      <c r="K327">
        <v>-4.5513245610973384E-2</v>
      </c>
      <c r="L327">
        <v>-7.0837623832688282E-2</v>
      </c>
    </row>
    <row r="328" spans="1:12" x14ac:dyDescent="0.25">
      <c r="B328" s="2" t="s">
        <v>116</v>
      </c>
      <c r="C328" s="3">
        <v>45901</v>
      </c>
      <c r="D328" s="2">
        <v>0.52</v>
      </c>
      <c r="E328" s="2">
        <v>0.1</v>
      </c>
      <c r="F328" s="2">
        <v>0.38</v>
      </c>
      <c r="G328">
        <v>1.3774104685057529E-2</v>
      </c>
      <c r="H328" s="2">
        <v>-7.191182729420798E-3</v>
      </c>
      <c r="I328" s="2">
        <v>-7.2017888811781207E-3</v>
      </c>
      <c r="J328" s="2">
        <v>-7.1234296075638652E-3</v>
      </c>
      <c r="K328">
        <v>-7.2037152155630495E-3</v>
      </c>
      <c r="L328">
        <v>-7.1843472944054382E-3</v>
      </c>
    </row>
    <row r="329" spans="1:12" x14ac:dyDescent="0.25">
      <c r="B329" s="2" t="s">
        <v>116</v>
      </c>
      <c r="C329" s="3">
        <v>45915</v>
      </c>
      <c r="D329" s="2">
        <v>0.7</v>
      </c>
      <c r="E329" s="2">
        <v>0.1</v>
      </c>
      <c r="F329" s="2">
        <v>0.2</v>
      </c>
      <c r="G329">
        <v>5.4347826108855921E-3</v>
      </c>
      <c r="H329" s="2">
        <v>1.9926384721134126E-2</v>
      </c>
      <c r="I329" s="2">
        <v>1.992916834943605E-2</v>
      </c>
      <c r="J329" s="2">
        <v>1.9958257239760101E-2</v>
      </c>
      <c r="K329">
        <v>1.9963167587477071E-2</v>
      </c>
      <c r="L329">
        <v>1.9938414164742138E-2</v>
      </c>
    </row>
    <row r="330" spans="1:12" x14ac:dyDescent="0.25">
      <c r="B330" s="2" t="s">
        <v>116</v>
      </c>
      <c r="C330" s="3">
        <v>45929</v>
      </c>
      <c r="D330" s="2">
        <v>0.7</v>
      </c>
      <c r="E330" s="2">
        <v>0.12</v>
      </c>
      <c r="F330" s="2">
        <v>0.18</v>
      </c>
      <c r="G330">
        <v>1.0810810807856605E-2</v>
      </c>
      <c r="H330" s="2">
        <v>-3.9958259054741582E-2</v>
      </c>
      <c r="I330" s="2">
        <v>-3.9962839432844385E-2</v>
      </c>
      <c r="J330" s="2">
        <v>-4.0030694462207438E-2</v>
      </c>
      <c r="K330">
        <v>-3.9975444171601912E-2</v>
      </c>
      <c r="L330">
        <v>-3.9965280398520681E-2</v>
      </c>
    </row>
    <row r="331" spans="1:12" x14ac:dyDescent="0.25">
      <c r="B331" s="2" t="s">
        <v>116</v>
      </c>
      <c r="C331" s="3">
        <v>45943</v>
      </c>
      <c r="D331" s="2">
        <v>0.74</v>
      </c>
      <c r="E331" s="2">
        <v>0.08</v>
      </c>
      <c r="F331" s="2">
        <v>0.18</v>
      </c>
      <c r="G331">
        <v>1.4260249552915265E-2</v>
      </c>
      <c r="H331" s="2">
        <v>5.2732487922705372E-2</v>
      </c>
      <c r="I331" s="2">
        <v>5.2730935799609718E-2</v>
      </c>
      <c r="J331" s="2">
        <v>5.2757793764987966E-2</v>
      </c>
      <c r="K331">
        <v>5.2736505548241525E-2</v>
      </c>
      <c r="L331">
        <v>5.2714336255355994E-2</v>
      </c>
    </row>
    <row r="332" spans="1:12" x14ac:dyDescent="0.25">
      <c r="A332" t="s">
        <v>117</v>
      </c>
      <c r="B332" s="2" t="s">
        <v>118</v>
      </c>
      <c r="C332" s="3">
        <v>45873</v>
      </c>
      <c r="D332" s="2">
        <v>0.64</v>
      </c>
      <c r="E332" s="2">
        <v>0.15</v>
      </c>
      <c r="F332" s="2">
        <v>0.21</v>
      </c>
      <c r="G332">
        <v>6.5039281706160093E-2</v>
      </c>
      <c r="H332" s="2">
        <v>5.4050415642984531E-2</v>
      </c>
      <c r="I332" s="2">
        <v>5.4049675713517084E-2</v>
      </c>
      <c r="J332" s="2">
        <v>5.4055738164597453E-2</v>
      </c>
      <c r="K332">
        <v>5.4050486718363364E-2</v>
      </c>
      <c r="L332">
        <v>5.4055896387184679E-2</v>
      </c>
    </row>
    <row r="333" spans="1:12" x14ac:dyDescent="0.25">
      <c r="B333" s="2" t="s">
        <v>118</v>
      </c>
      <c r="C333" s="3">
        <v>45887</v>
      </c>
      <c r="D333" s="2">
        <v>0.63</v>
      </c>
      <c r="E333" s="2">
        <v>0.15</v>
      </c>
      <c r="F333" s="2">
        <v>0.22</v>
      </c>
      <c r="G333">
        <v>5.6957690079378592E-2</v>
      </c>
      <c r="H333" s="2">
        <v>7.1266643251700346E-2</v>
      </c>
      <c r="I333" s="2">
        <v>9.6441490150014075E-2</v>
      </c>
      <c r="J333" s="2">
        <v>1.5488524008690127E-2</v>
      </c>
      <c r="K333">
        <v>7.1267570359703117E-2</v>
      </c>
      <c r="L333">
        <v>7.0313005238310786E-2</v>
      </c>
    </row>
    <row r="334" spans="1:12" x14ac:dyDescent="0.25">
      <c r="B334" s="2" t="s">
        <v>118</v>
      </c>
      <c r="C334" s="3">
        <v>45901</v>
      </c>
      <c r="D334" s="2">
        <v>0.42</v>
      </c>
      <c r="E334" s="2">
        <v>0.16</v>
      </c>
      <c r="F334" s="2">
        <v>0.42</v>
      </c>
      <c r="G334">
        <v>3.6141575276250143E-2</v>
      </c>
      <c r="H334" s="2">
        <v>2.0987948695021481E-2</v>
      </c>
      <c r="I334" s="2">
        <v>2.0990923790881726E-2</v>
      </c>
      <c r="J334" s="2">
        <v>2.0986450495553793E-2</v>
      </c>
      <c r="K334">
        <v>2.0996800070135442E-2</v>
      </c>
      <c r="L334">
        <v>2.0981556169846448E-2</v>
      </c>
    </row>
    <row r="335" spans="1:12" x14ac:dyDescent="0.25">
      <c r="B335" s="2" t="s">
        <v>118</v>
      </c>
      <c r="C335" s="3">
        <v>45915</v>
      </c>
      <c r="D335" s="2">
        <v>0.38</v>
      </c>
      <c r="E335" s="2">
        <v>0.25</v>
      </c>
      <c r="F335" s="2">
        <v>0.37</v>
      </c>
      <c r="G335">
        <v>-6.3988453212952351E-2</v>
      </c>
      <c r="H335" s="2">
        <v>-7.3205501846436788E-2</v>
      </c>
      <c r="I335" s="2">
        <v>-7.3210555735341798E-2</v>
      </c>
      <c r="J335" s="2">
        <v>-7.3211409348139106E-2</v>
      </c>
      <c r="K335">
        <v>-7.3215410155131902E-2</v>
      </c>
      <c r="L335">
        <v>-7.3206095576268754E-2</v>
      </c>
    </row>
    <row r="336" spans="1:12" x14ac:dyDescent="0.25">
      <c r="B336" s="2" t="s">
        <v>118</v>
      </c>
      <c r="C336" s="3">
        <v>45929</v>
      </c>
      <c r="D336" s="2">
        <v>0.5</v>
      </c>
      <c r="E336" s="2">
        <v>0.18</v>
      </c>
      <c r="F336" s="2">
        <v>0.32</v>
      </c>
      <c r="G336">
        <v>-3.885890516443527E-2</v>
      </c>
      <c r="H336" s="2">
        <v>-1.2867154894086187E-2</v>
      </c>
      <c r="I336" s="2">
        <v>-1.2866703700764389E-2</v>
      </c>
      <c r="J336" s="2">
        <v>-1.2873556146853815E-2</v>
      </c>
      <c r="K336">
        <v>-1.2862878319950645E-2</v>
      </c>
      <c r="L336">
        <v>-1.2866766706043798E-2</v>
      </c>
    </row>
    <row r="337" spans="1:12" x14ac:dyDescent="0.25">
      <c r="B337" s="2" t="s">
        <v>118</v>
      </c>
      <c r="C337" s="3">
        <v>45943</v>
      </c>
      <c r="D337" s="2">
        <v>0.57999999999999996</v>
      </c>
      <c r="E337" s="2">
        <v>0.13</v>
      </c>
      <c r="F337" s="2">
        <v>0.28999999999999998</v>
      </c>
      <c r="G337">
        <v>-1.3957965669142256E-2</v>
      </c>
      <c r="H337" s="2">
        <v>-2.2894795622068271E-2</v>
      </c>
      <c r="I337" s="2">
        <v>-2.2895976589507035E-2</v>
      </c>
      <c r="J337" s="2">
        <v>-2.2888750389529523E-2</v>
      </c>
      <c r="K337">
        <v>-2.2901121591815645E-2</v>
      </c>
      <c r="L337">
        <v>-2.2899281971667053E-2</v>
      </c>
    </row>
    <row r="338" spans="1:12" x14ac:dyDescent="0.25">
      <c r="A338" t="s">
        <v>119</v>
      </c>
      <c r="B338" s="2" t="s">
        <v>120</v>
      </c>
      <c r="C338" s="3">
        <v>45873</v>
      </c>
      <c r="D338" s="2">
        <v>0.8</v>
      </c>
      <c r="E338" s="2">
        <v>0.06</v>
      </c>
      <c r="F338" s="2">
        <v>0.14000000000000001</v>
      </c>
      <c r="G338">
        <v>-6.8399452785401875E-3</v>
      </c>
      <c r="H338" s="2">
        <v>-8.207611230846408E-3</v>
      </c>
      <c r="I338" s="2">
        <v>-8.2071532254180332E-3</v>
      </c>
      <c r="J338" s="2">
        <v>2.7868584504740126E-2</v>
      </c>
      <c r="K338">
        <v>-8.223684210526324E-3</v>
      </c>
      <c r="L338">
        <v>-8.147405364753009E-3</v>
      </c>
    </row>
    <row r="339" spans="1:12" x14ac:dyDescent="0.25">
      <c r="B339" s="2" t="s">
        <v>120</v>
      </c>
      <c r="C339" s="3">
        <v>45887</v>
      </c>
      <c r="D339" s="2">
        <v>0.74</v>
      </c>
      <c r="E339" s="2">
        <v>0.09</v>
      </c>
      <c r="F339" s="2">
        <v>0.17</v>
      </c>
      <c r="G339">
        <v>4.5454545454327241E-2</v>
      </c>
      <c r="H339" s="2">
        <v>5.7928735153156843E-2</v>
      </c>
      <c r="I339" s="2">
        <v>-1.0626491315687254E-2</v>
      </c>
      <c r="J339" s="2">
        <v>6.7742704937584428E-2</v>
      </c>
      <c r="K339">
        <v>5.792466240227441E-2</v>
      </c>
      <c r="L339">
        <v>7.2033362820675319E-3</v>
      </c>
    </row>
    <row r="340" spans="1:12" x14ac:dyDescent="0.25">
      <c r="B340" s="2" t="s">
        <v>120</v>
      </c>
      <c r="C340" s="3">
        <v>45901</v>
      </c>
      <c r="D340" s="2">
        <v>0.92</v>
      </c>
      <c r="E340" s="2">
        <v>0.03</v>
      </c>
      <c r="F340" s="2">
        <v>0.05</v>
      </c>
      <c r="G340">
        <v>1.185770751024447E-2</v>
      </c>
      <c r="H340" s="2">
        <v>7.8223923014153086E-3</v>
      </c>
      <c r="I340" s="2">
        <v>7.824111724950171E-3</v>
      </c>
      <c r="J340" s="2">
        <v>7.8188993968277259E-3</v>
      </c>
      <c r="K340">
        <v>7.8378680998768407E-3</v>
      </c>
      <c r="L340">
        <v>7.9046424090338414E-3</v>
      </c>
    </row>
    <row r="341" spans="1:12" x14ac:dyDescent="0.25">
      <c r="B341" s="2" t="s">
        <v>120</v>
      </c>
      <c r="C341" s="3">
        <v>45915</v>
      </c>
      <c r="D341" s="2">
        <v>0.92</v>
      </c>
      <c r="E341" s="2">
        <v>0.04</v>
      </c>
      <c r="F341" s="2">
        <v>0.04</v>
      </c>
      <c r="G341">
        <v>-4.4270833333664189E-2</v>
      </c>
      <c r="H341" s="2">
        <v>-5.3036267694111718E-2</v>
      </c>
      <c r="I341" s="2">
        <v>-5.3042740274917864E-2</v>
      </c>
      <c r="J341" s="2">
        <v>-5.2977685828284229E-2</v>
      </c>
      <c r="K341">
        <v>-5.2994111765359363E-2</v>
      </c>
      <c r="L341">
        <v>-5.3031246109797051E-2</v>
      </c>
    </row>
    <row r="342" spans="1:12" x14ac:dyDescent="0.25">
      <c r="B342" s="2" t="s">
        <v>120</v>
      </c>
      <c r="C342" s="3">
        <v>45929</v>
      </c>
      <c r="D342" s="2">
        <v>0.84</v>
      </c>
      <c r="E342" s="2">
        <v>0.02</v>
      </c>
      <c r="F342" s="2">
        <v>0.14000000000000001</v>
      </c>
      <c r="G342">
        <v>4.2234332423722813E-2</v>
      </c>
      <c r="H342" s="2">
        <v>5.6006651453236377E-2</v>
      </c>
      <c r="I342" s="2">
        <v>5.6013869401367787E-2</v>
      </c>
      <c r="J342" s="2">
        <v>5.5941327923851036E-2</v>
      </c>
      <c r="K342">
        <v>5.5959643359924871E-2</v>
      </c>
      <c r="L342">
        <v>5.6001051662941989E-2</v>
      </c>
    </row>
    <row r="343" spans="1:12" x14ac:dyDescent="0.25">
      <c r="B343" s="2" t="s">
        <v>120</v>
      </c>
      <c r="C343" s="3">
        <v>45943</v>
      </c>
      <c r="D343" s="2">
        <v>0.89</v>
      </c>
      <c r="E343" s="2">
        <v>0.06</v>
      </c>
      <c r="F343" s="2">
        <v>0.05</v>
      </c>
      <c r="G343">
        <v>4.0522875815754984E-2</v>
      </c>
      <c r="H343" s="2">
        <v>2.9756819387441801E-2</v>
      </c>
      <c r="I343" s="2">
        <v>2.975262952863263E-2</v>
      </c>
      <c r="J343" s="2">
        <v>2.9776858282843214E-2</v>
      </c>
      <c r="K343">
        <v>2.977446950338844E-2</v>
      </c>
      <c r="L343">
        <v>2.9752271878501223E-2</v>
      </c>
    </row>
    <row r="344" spans="1:12" x14ac:dyDescent="0.25">
      <c r="A344" t="s">
        <v>121</v>
      </c>
      <c r="B344" s="2" t="s">
        <v>122</v>
      </c>
      <c r="C344" s="3">
        <v>45873</v>
      </c>
      <c r="D344" s="2">
        <v>0.74</v>
      </c>
      <c r="E344" s="2">
        <v>0.09</v>
      </c>
      <c r="F344" s="2">
        <v>0.17</v>
      </c>
      <c r="G344">
        <v>0.13108945969686955</v>
      </c>
      <c r="H344" s="2">
        <v>3.8642574370590509E-2</v>
      </c>
      <c r="I344" s="2">
        <v>3.8642179738070298E-2</v>
      </c>
      <c r="J344" s="2">
        <v>3.8650647740390696E-2</v>
      </c>
      <c r="K344">
        <v>3.8596753683895646E-2</v>
      </c>
      <c r="L344">
        <v>3.8672768878718511E-2</v>
      </c>
    </row>
    <row r="345" spans="1:12" x14ac:dyDescent="0.25">
      <c r="B345" s="2" t="s">
        <v>122</v>
      </c>
      <c r="C345" s="3">
        <v>45887</v>
      </c>
      <c r="D345" s="2">
        <v>0.82</v>
      </c>
      <c r="E345" s="2">
        <v>0.05</v>
      </c>
      <c r="F345" s="2">
        <v>0.13</v>
      </c>
      <c r="G345">
        <v>0.25293657008593429</v>
      </c>
      <c r="H345" s="2">
        <v>0.29054121648659453</v>
      </c>
      <c r="I345" s="2">
        <v>0.35499611094202155</v>
      </c>
      <c r="J345" s="2">
        <v>0.19557074054254306</v>
      </c>
      <c r="K345">
        <v>0.29060136838314726</v>
      </c>
      <c r="L345">
        <v>0.22449878827935676</v>
      </c>
    </row>
    <row r="346" spans="1:12" x14ac:dyDescent="0.25">
      <c r="B346" s="2" t="s">
        <v>122</v>
      </c>
      <c r="C346" s="3">
        <v>45901</v>
      </c>
      <c r="D346" s="2">
        <v>0.75</v>
      </c>
      <c r="E346" s="2">
        <v>0.1</v>
      </c>
      <c r="F346" s="2">
        <v>0.15</v>
      </c>
      <c r="G346">
        <v>-0.10291666666762485</v>
      </c>
      <c r="H346" s="2">
        <v>-2.9929652526113758E-2</v>
      </c>
      <c r="I346" s="2">
        <v>-2.9928121167175376E-2</v>
      </c>
      <c r="J346" s="2">
        <v>-2.9920121195427619E-2</v>
      </c>
      <c r="K346">
        <v>-2.9966517857142903E-2</v>
      </c>
      <c r="L346">
        <v>-2.9926832193834747E-2</v>
      </c>
    </row>
    <row r="347" spans="1:12" x14ac:dyDescent="0.25">
      <c r="B347" s="2" t="s">
        <v>122</v>
      </c>
      <c r="C347" s="3">
        <v>45915</v>
      </c>
      <c r="D347" s="2">
        <v>0.86</v>
      </c>
      <c r="E347" s="2">
        <v>0.06</v>
      </c>
      <c r="F347" s="2">
        <v>0.08</v>
      </c>
      <c r="G347">
        <v>4.7607988855970139E-2</v>
      </c>
      <c r="H347" s="2">
        <v>8.8459863434591692E-3</v>
      </c>
      <c r="I347" s="2">
        <v>8.8467277765934896E-3</v>
      </c>
      <c r="J347" s="2">
        <v>8.83762200532392E-3</v>
      </c>
      <c r="K347">
        <v>8.859230282459921E-3</v>
      </c>
      <c r="L347">
        <v>8.8408037094281182E-3</v>
      </c>
    </row>
    <row r="348" spans="1:12" x14ac:dyDescent="0.25">
      <c r="B348" s="2" t="s">
        <v>122</v>
      </c>
      <c r="C348" s="3">
        <v>45929</v>
      </c>
      <c r="D348" s="2">
        <v>0.82</v>
      </c>
      <c r="E348" s="2">
        <v>0.03</v>
      </c>
      <c r="F348" s="2">
        <v>0.15</v>
      </c>
      <c r="G348">
        <v>0.18975836842900512</v>
      </c>
      <c r="H348" s="2">
        <v>0.16932874449993468</v>
      </c>
      <c r="I348" s="2">
        <v>0.16932801428129043</v>
      </c>
      <c r="J348" s="2">
        <v>0.16936391781593013</v>
      </c>
      <c r="K348">
        <v>0.16935621828134798</v>
      </c>
      <c r="L348">
        <v>0.16932222086039955</v>
      </c>
    </row>
    <row r="349" spans="1:12" x14ac:dyDescent="0.25">
      <c r="B349" s="2" t="s">
        <v>122</v>
      </c>
      <c r="C349" s="3">
        <v>45943</v>
      </c>
      <c r="D349" s="2">
        <v>0.71</v>
      </c>
      <c r="E349" s="2">
        <v>0.14000000000000001</v>
      </c>
      <c r="F349" s="2">
        <v>0.15</v>
      </c>
      <c r="G349">
        <v>-7.1175703371217397E-2</v>
      </c>
      <c r="H349" s="2">
        <v>-4.1344343137387746E-2</v>
      </c>
      <c r="I349" s="2">
        <v>-4.1344329408685682E-2</v>
      </c>
      <c r="J349" s="2">
        <v>-4.1368313376256016E-2</v>
      </c>
      <c r="K349">
        <v>-4.1351733554396052E-2</v>
      </c>
      <c r="L349">
        <v>-4.135003406530055E-2</v>
      </c>
    </row>
    <row r="350" spans="1:12" x14ac:dyDescent="0.25">
      <c r="A350" t="s">
        <v>123</v>
      </c>
      <c r="B350" s="2" t="s">
        <v>124</v>
      </c>
      <c r="C350" s="3">
        <v>45873</v>
      </c>
      <c r="D350" s="2">
        <v>0.25</v>
      </c>
      <c r="E350" s="2">
        <v>0.1</v>
      </c>
      <c r="F350" s="2">
        <v>0.65</v>
      </c>
      <c r="G350">
        <v>-2.9556650249098124E-2</v>
      </c>
      <c r="H350" s="2">
        <v>-2.9638793539056595E-2</v>
      </c>
      <c r="I350" s="2">
        <v>-2.9613868638599099E-2</v>
      </c>
      <c r="J350" s="2">
        <v>-2.9669454400637136E-2</v>
      </c>
      <c r="K350">
        <v>-2.9596514062588307E-2</v>
      </c>
      <c r="L350">
        <v>-2.9625896057347764E-2</v>
      </c>
    </row>
    <row r="351" spans="1:12" x14ac:dyDescent="0.25">
      <c r="B351" s="2" t="s">
        <v>124</v>
      </c>
      <c r="C351" s="3">
        <v>45887</v>
      </c>
      <c r="D351" s="2">
        <v>0.41</v>
      </c>
      <c r="E351" s="2">
        <v>0.2</v>
      </c>
      <c r="F351" s="2">
        <v>0.39</v>
      </c>
      <c r="G351">
        <v>-5.8375634517722964E-2</v>
      </c>
      <c r="H351" s="2">
        <v>-3.8157658466511105E-2</v>
      </c>
      <c r="I351" s="2">
        <v>-3.8173975557153073E-2</v>
      </c>
      <c r="J351" s="2">
        <v>-3.816950543812847E-2</v>
      </c>
      <c r="K351">
        <v>-3.8196874271052082E-2</v>
      </c>
      <c r="L351">
        <v>-3.814855427944816E-2</v>
      </c>
    </row>
    <row r="352" spans="1:12" x14ac:dyDescent="0.25">
      <c r="B352" s="2" t="s">
        <v>124</v>
      </c>
      <c r="C352" s="3">
        <v>45901</v>
      </c>
      <c r="D352" s="2">
        <v>0.41</v>
      </c>
      <c r="E352" s="2">
        <v>0.21</v>
      </c>
      <c r="F352" s="2">
        <v>0.38</v>
      </c>
      <c r="G352">
        <v>-2.6954177897156081E-2</v>
      </c>
      <c r="H352" s="2">
        <v>-3.9690096144870575E-2</v>
      </c>
      <c r="I352" s="2">
        <v>-4.1912699005904844E-2</v>
      </c>
      <c r="J352" s="2">
        <v>-5.5685939833582276E-2</v>
      </c>
      <c r="K352">
        <v>-3.9653186200206088E-2</v>
      </c>
      <c r="L352">
        <v>-2.1540861634465402E-2</v>
      </c>
    </row>
    <row r="353" spans="1:12" x14ac:dyDescent="0.25">
      <c r="B353" s="2" t="s">
        <v>124</v>
      </c>
      <c r="C353" s="3">
        <v>45915</v>
      </c>
      <c r="D353" s="2">
        <v>0.68</v>
      </c>
      <c r="E353" s="2">
        <v>0.14000000000000001</v>
      </c>
      <c r="F353" s="2">
        <v>0.18</v>
      </c>
      <c r="G353">
        <v>-5.8171745153302534E-2</v>
      </c>
      <c r="H353" s="2">
        <v>-5.5094383638873284E-2</v>
      </c>
      <c r="I353" s="2">
        <v>-5.5097224660152468E-2</v>
      </c>
      <c r="J353" s="2">
        <v>-5.5128784455490236E-2</v>
      </c>
      <c r="K353">
        <v>-5.5117115979544259E-2</v>
      </c>
      <c r="L353">
        <v>-5.5068375544244867E-2</v>
      </c>
    </row>
    <row r="354" spans="1:12" x14ac:dyDescent="0.25">
      <c r="B354" s="2" t="s">
        <v>124</v>
      </c>
      <c r="C354" s="3">
        <v>45929</v>
      </c>
      <c r="D354" s="2">
        <v>0.5</v>
      </c>
      <c r="E354" s="2">
        <v>0.14000000000000001</v>
      </c>
      <c r="F354" s="2">
        <v>0.36</v>
      </c>
      <c r="G354">
        <v>-1.4705882352721581E-2</v>
      </c>
      <c r="H354" s="2">
        <v>-2.3330933031581194E-2</v>
      </c>
      <c r="I354" s="2">
        <v>-2.3323976221928753E-2</v>
      </c>
      <c r="J354" s="2">
        <v>-2.3433763749402273E-2</v>
      </c>
      <c r="K354">
        <v>-2.3319524254977905E-2</v>
      </c>
      <c r="L354">
        <v>-2.3362969693036559E-2</v>
      </c>
    </row>
    <row r="355" spans="1:12" x14ac:dyDescent="0.25">
      <c r="B355" s="2" t="s">
        <v>124</v>
      </c>
      <c r="C355" s="3">
        <v>45943</v>
      </c>
      <c r="D355" s="2">
        <v>0.51</v>
      </c>
      <c r="E355" s="2">
        <v>0.19</v>
      </c>
      <c r="F355" s="2">
        <v>0.3</v>
      </c>
      <c r="G355">
        <v>5.3731343283778217E-2</v>
      </c>
      <c r="H355" s="2">
        <v>5.3738071664806E-2</v>
      </c>
      <c r="I355" s="2">
        <v>5.3742761739718641E-2</v>
      </c>
      <c r="J355" s="2">
        <v>5.3868756121449611E-2</v>
      </c>
      <c r="K355">
        <v>5.3704590545255532E-2</v>
      </c>
      <c r="L355">
        <v>5.3757724765765298E-2</v>
      </c>
    </row>
    <row r="356" spans="1:12" x14ac:dyDescent="0.25">
      <c r="A356" t="s">
        <v>125</v>
      </c>
      <c r="B356" s="2" t="s">
        <v>126</v>
      </c>
      <c r="C356" s="3">
        <v>45873</v>
      </c>
      <c r="D356" s="2">
        <v>0.68</v>
      </c>
      <c r="E356" s="2">
        <v>0.11</v>
      </c>
      <c r="F356" s="2">
        <v>0.21</v>
      </c>
      <c r="G356">
        <v>2.6911833816902746E-3</v>
      </c>
      <c r="H356" s="2">
        <v>2.7324782010894797E-3</v>
      </c>
      <c r="I356" s="2">
        <v>2.7338471828804683E-3</v>
      </c>
      <c r="J356" s="2">
        <v>1.188207145464135E-2</v>
      </c>
      <c r="K356">
        <v>2.7987344852763202E-3</v>
      </c>
      <c r="L356">
        <v>2.7194066749072678E-3</v>
      </c>
    </row>
    <row r="357" spans="1:12" x14ac:dyDescent="0.25">
      <c r="B357" s="2" t="s">
        <v>126</v>
      </c>
      <c r="C357" s="3">
        <v>45887</v>
      </c>
      <c r="D357" s="2">
        <v>0.76</v>
      </c>
      <c r="E357" s="2">
        <v>0.06</v>
      </c>
      <c r="F357" s="2">
        <v>0.18</v>
      </c>
      <c r="G357">
        <v>-8.5079093630526986E-2</v>
      </c>
      <c r="H357" s="2">
        <v>-4.1712951713125342E-2</v>
      </c>
      <c r="I357" s="2">
        <v>-9.4232938774779326E-2</v>
      </c>
      <c r="J357" s="2">
        <v>-5.2580955434434196E-2</v>
      </c>
      <c r="K357">
        <v>-4.1742506977308691E-2</v>
      </c>
      <c r="L357">
        <v>-6.7307692307692277E-2</v>
      </c>
    </row>
    <row r="358" spans="1:12" x14ac:dyDescent="0.25">
      <c r="B358" s="2" t="s">
        <v>126</v>
      </c>
      <c r="C358" s="3">
        <v>45901</v>
      </c>
      <c r="D358" s="2">
        <v>0.6</v>
      </c>
      <c r="E358" s="2">
        <v>0.12</v>
      </c>
      <c r="F358" s="2">
        <v>0.28000000000000003</v>
      </c>
      <c r="G358">
        <v>-2.6635514017510836E-2</v>
      </c>
      <c r="H358" s="2">
        <v>-6.394135200119537E-2</v>
      </c>
      <c r="I358" s="2">
        <v>-6.3942310068553637E-2</v>
      </c>
      <c r="J358" s="2">
        <v>-6.3959390862944068E-2</v>
      </c>
      <c r="K358">
        <v>-6.3948334810687596E-2</v>
      </c>
      <c r="L358">
        <v>-6.3970393867301079E-2</v>
      </c>
    </row>
    <row r="359" spans="1:12" x14ac:dyDescent="0.25">
      <c r="B359" s="2" t="s">
        <v>126</v>
      </c>
      <c r="C359" s="3">
        <v>45915</v>
      </c>
      <c r="D359" s="2">
        <v>0.4</v>
      </c>
      <c r="E359" s="2">
        <v>0.12</v>
      </c>
      <c r="F359" s="2">
        <v>0.48</v>
      </c>
      <c r="G359">
        <v>-4.0085580470918147E-2</v>
      </c>
      <c r="H359" s="2">
        <v>-3.9550700941360803E-2</v>
      </c>
      <c r="I359" s="2">
        <v>-3.9554138109469658E-2</v>
      </c>
      <c r="J359" s="2">
        <v>-1.5545914678235812E-2</v>
      </c>
      <c r="K359">
        <v>-3.9502164502164511E-2</v>
      </c>
      <c r="L359">
        <v>-3.9536853996046346E-2</v>
      </c>
    </row>
    <row r="360" spans="1:12" x14ac:dyDescent="0.25">
      <c r="B360" s="2" t="s">
        <v>126</v>
      </c>
      <c r="C360" s="3">
        <v>45929</v>
      </c>
      <c r="D360" s="2">
        <v>0.82</v>
      </c>
      <c r="E360" s="2">
        <v>0.02</v>
      </c>
      <c r="F360" s="2">
        <v>0.16</v>
      </c>
      <c r="G360">
        <v>2.5257204157593433E-2</v>
      </c>
      <c r="H360" s="2">
        <v>2.7454594904958947E-2</v>
      </c>
      <c r="I360" s="2">
        <v>2.7455400093460591E-2</v>
      </c>
      <c r="J360" s="2">
        <v>2.7451340433345611E-2</v>
      </c>
      <c r="K360">
        <v>2.7464788732394472E-2</v>
      </c>
      <c r="L360">
        <v>2.7491914142899056E-2</v>
      </c>
    </row>
    <row r="361" spans="1:12" x14ac:dyDescent="0.25">
      <c r="B361" s="2" t="s">
        <v>126</v>
      </c>
      <c r="C361" s="3">
        <v>45943</v>
      </c>
      <c r="D361" s="2">
        <v>0.54</v>
      </c>
      <c r="E361" s="2">
        <v>7.0000000000000007E-2</v>
      </c>
      <c r="F361" s="2">
        <v>0.39</v>
      </c>
      <c r="G361">
        <v>-2.7317073170344545E-2</v>
      </c>
      <c r="H361" s="2">
        <v>-3.1333794124423345E-2</v>
      </c>
      <c r="I361" s="2">
        <v>-3.1334107411351092E-2</v>
      </c>
      <c r="J361" s="2">
        <v>-3.131981056205882E-2</v>
      </c>
      <c r="K361">
        <v>-3.1391363947909569E-2</v>
      </c>
      <c r="L361">
        <v>-3.1334954929174305E-2</v>
      </c>
    </row>
    <row r="362" spans="1:12" x14ac:dyDescent="0.25">
      <c r="A362" t="s">
        <v>127</v>
      </c>
      <c r="B362" s="2" t="s">
        <v>128</v>
      </c>
      <c r="C362" s="3">
        <v>45873</v>
      </c>
      <c r="D362" s="2">
        <v>0.9</v>
      </c>
      <c r="E362" s="2">
        <v>0.03</v>
      </c>
      <c r="F362" s="2">
        <v>7.0000000000000007E-2</v>
      </c>
      <c r="G362">
        <v>0.24748104788558847</v>
      </c>
      <c r="H362" s="2">
        <v>0.1301803782573821</v>
      </c>
      <c r="I362" s="2">
        <v>0.13018055061185915</v>
      </c>
      <c r="J362" s="2">
        <v>0.1301778229060897</v>
      </c>
      <c r="K362">
        <v>0.13018209996125529</v>
      </c>
      <c r="L362">
        <v>0.13018466065037443</v>
      </c>
    </row>
    <row r="363" spans="1:12" x14ac:dyDescent="0.25">
      <c r="B363" s="2" t="s">
        <v>128</v>
      </c>
      <c r="C363" s="3">
        <v>45887</v>
      </c>
      <c r="D363" s="2">
        <v>0.88</v>
      </c>
      <c r="E363" s="2">
        <v>0.04</v>
      </c>
      <c r="F363" s="2">
        <v>0.08</v>
      </c>
      <c r="G363">
        <v>0.56192307692169241</v>
      </c>
      <c r="H363" s="2">
        <v>0.4909455638933099</v>
      </c>
      <c r="I363" s="2">
        <v>0.25813864586138885</v>
      </c>
      <c r="J363" s="2">
        <v>0.32710574612023607</v>
      </c>
      <c r="K363">
        <v>0.49094238853905409</v>
      </c>
      <c r="L363">
        <v>0.37537884675163197</v>
      </c>
    </row>
    <row r="364" spans="1:12" x14ac:dyDescent="0.25">
      <c r="B364" s="2" t="s">
        <v>128</v>
      </c>
      <c r="C364" s="3">
        <v>45901</v>
      </c>
      <c r="D364" s="2">
        <v>0.78</v>
      </c>
      <c r="E364" s="2">
        <v>0.09</v>
      </c>
      <c r="F364" s="2">
        <v>0.13</v>
      </c>
      <c r="G364">
        <v>4.7278995337346726E-3</v>
      </c>
      <c r="H364" s="2">
        <v>0.1892541196650239</v>
      </c>
      <c r="I364" s="2">
        <v>0.18925250586110812</v>
      </c>
      <c r="J364" s="2">
        <v>0.18924924056126149</v>
      </c>
      <c r="K364">
        <v>0.18925362296917078</v>
      </c>
      <c r="L364">
        <v>0.18925466321060555</v>
      </c>
    </row>
    <row r="365" spans="1:12" x14ac:dyDescent="0.25">
      <c r="B365" s="2" t="s">
        <v>128</v>
      </c>
      <c r="C365" s="3">
        <v>45915</v>
      </c>
      <c r="D365" s="2">
        <v>0.74</v>
      </c>
      <c r="E365" s="2">
        <v>0.11</v>
      </c>
      <c r="F365" s="2">
        <v>0.15</v>
      </c>
      <c r="G365">
        <v>2.1396009999891816E-2</v>
      </c>
      <c r="H365" s="2">
        <v>-1.9876940719830608E-2</v>
      </c>
      <c r="I365" s="2">
        <v>-1.9876173125358266E-2</v>
      </c>
      <c r="J365" s="2">
        <v>-1.9875250569254425E-2</v>
      </c>
      <c r="K365">
        <v>-1.9878702770908963E-2</v>
      </c>
      <c r="L365">
        <v>-1.987730352826601E-2</v>
      </c>
    </row>
    <row r="366" spans="1:12" x14ac:dyDescent="0.25">
      <c r="B366" s="2" t="s">
        <v>128</v>
      </c>
      <c r="C366" s="3">
        <v>45929</v>
      </c>
      <c r="D366" s="2">
        <v>0.66</v>
      </c>
      <c r="E366" s="2">
        <v>0.09</v>
      </c>
      <c r="F366" s="2">
        <v>0.25</v>
      </c>
      <c r="G366">
        <v>-9.5404919016439257E-2</v>
      </c>
      <c r="H366" s="2">
        <v>-5.7287248524504571E-2</v>
      </c>
      <c r="I366" s="2">
        <v>-5.7289020739869766E-2</v>
      </c>
      <c r="J366" s="2">
        <v>-5.7290503209280835E-2</v>
      </c>
      <c r="K366">
        <v>-5.7284501777973909E-2</v>
      </c>
      <c r="L366">
        <v>-5.7284471266875074E-2</v>
      </c>
    </row>
    <row r="367" spans="1:12" x14ac:dyDescent="0.25">
      <c r="B367" s="2" t="s">
        <v>128</v>
      </c>
      <c r="C367" s="3">
        <v>45943</v>
      </c>
      <c r="D367" s="2">
        <v>0.86</v>
      </c>
      <c r="E367" s="2">
        <v>7.0000000000000007E-2</v>
      </c>
      <c r="F367" s="2">
        <v>7.0000000000000007E-2</v>
      </c>
      <c r="G367">
        <v>0.31037958566433871</v>
      </c>
      <c r="H367" s="2">
        <v>0.26666539369449133</v>
      </c>
      <c r="I367" s="2">
        <v>0.26666750459156668</v>
      </c>
      <c r="J367" s="2">
        <v>0.29182858888081459</v>
      </c>
      <c r="K367">
        <v>0.26666299559471368</v>
      </c>
      <c r="L367">
        <v>0.26666323867799629</v>
      </c>
    </row>
    <row r="368" spans="1:12" x14ac:dyDescent="0.25">
      <c r="A368" t="s">
        <v>129</v>
      </c>
      <c r="B368" s="2" t="s">
        <v>130</v>
      </c>
      <c r="C368" s="3">
        <v>45873</v>
      </c>
      <c r="D368" s="2">
        <v>0.61</v>
      </c>
      <c r="E368" s="2">
        <v>0.09</v>
      </c>
      <c r="F368" s="2">
        <v>0.3</v>
      </c>
      <c r="G368">
        <v>-2.0307692309050631E-2</v>
      </c>
      <c r="H368" s="2">
        <v>-2.3989280465665806E-2</v>
      </c>
      <c r="I368" s="2">
        <v>-2.3984685240558825E-2</v>
      </c>
      <c r="J368" s="2">
        <v>-2.399664675678511E-2</v>
      </c>
      <c r="K368">
        <v>-2.3998697492673426E-2</v>
      </c>
      <c r="L368">
        <v>-2.4004781035226873E-2</v>
      </c>
    </row>
    <row r="369" spans="1:12" x14ac:dyDescent="0.25">
      <c r="B369" s="2" t="s">
        <v>130</v>
      </c>
      <c r="C369" s="3">
        <v>45887</v>
      </c>
      <c r="D369" s="2">
        <v>0.46</v>
      </c>
      <c r="E369" s="2">
        <v>0.25</v>
      </c>
      <c r="F369" s="2">
        <v>0.28999999999999998</v>
      </c>
      <c r="G369">
        <v>-1.4447236180577874E-2</v>
      </c>
      <c r="H369" s="2">
        <v>0</v>
      </c>
      <c r="I369" s="2">
        <v>-1.6209819909007004E-5</v>
      </c>
      <c r="J369" s="2">
        <v>-3.96177796864935E-2</v>
      </c>
      <c r="K369">
        <v>0</v>
      </c>
      <c r="L369">
        <v>0</v>
      </c>
    </row>
    <row r="370" spans="1:12" x14ac:dyDescent="0.25">
      <c r="B370" s="2" t="s">
        <v>130</v>
      </c>
      <c r="C370" s="3">
        <v>45901</v>
      </c>
      <c r="D370" s="2">
        <v>0.53</v>
      </c>
      <c r="E370" s="2">
        <v>0.1</v>
      </c>
      <c r="F370" s="2">
        <v>0.37</v>
      </c>
      <c r="G370">
        <v>-1.9120458852347878E-3</v>
      </c>
      <c r="H370" s="2">
        <v>-9.4477495165409507E-3</v>
      </c>
      <c r="I370" s="2">
        <v>-9.4504781974388101E-3</v>
      </c>
      <c r="J370" s="2">
        <v>-9.3907210732252239E-3</v>
      </c>
      <c r="K370">
        <v>-9.4418309812164987E-3</v>
      </c>
      <c r="L370">
        <v>-9.4570689889781085E-3</v>
      </c>
    </row>
    <row r="371" spans="1:12" x14ac:dyDescent="0.25">
      <c r="B371" s="2" t="s">
        <v>130</v>
      </c>
      <c r="C371" s="3">
        <v>45915</v>
      </c>
      <c r="D371" s="2">
        <v>0.55000000000000004</v>
      </c>
      <c r="E371" s="2">
        <v>0.14000000000000001</v>
      </c>
      <c r="F371" s="2">
        <v>0.31</v>
      </c>
      <c r="G371">
        <v>-1.7241379310648629E-2</v>
      </c>
      <c r="H371" s="2">
        <v>-2.6080088225212714E-2</v>
      </c>
      <c r="I371" s="2">
        <v>-2.6085391199044263E-2</v>
      </c>
      <c r="J371" s="2">
        <v>-2.6069292404920449E-2</v>
      </c>
      <c r="K371">
        <v>-2.6069383630852112E-2</v>
      </c>
      <c r="L371">
        <v>-2.6066350710900424E-2</v>
      </c>
    </row>
    <row r="372" spans="1:12" x14ac:dyDescent="0.25">
      <c r="B372" s="2" t="s">
        <v>130</v>
      </c>
      <c r="C372" s="3">
        <v>45929</v>
      </c>
      <c r="D372" s="2">
        <v>0.69</v>
      </c>
      <c r="E372" s="2">
        <v>0.14000000000000001</v>
      </c>
      <c r="F372" s="2">
        <v>0.17</v>
      </c>
      <c r="G372">
        <v>2.3391812862928619E-2</v>
      </c>
      <c r="H372" s="2">
        <v>1.5011246958730627E-2</v>
      </c>
      <c r="I372" s="2">
        <v>1.5021927982121616E-2</v>
      </c>
      <c r="J372" s="2">
        <v>1.4947856315179633E-2</v>
      </c>
      <c r="K372">
        <v>1.5008991561765149E-2</v>
      </c>
      <c r="L372">
        <v>1.5021686237173296E-2</v>
      </c>
    </row>
    <row r="373" spans="1:12" x14ac:dyDescent="0.25">
      <c r="B373" s="2" t="s">
        <v>130</v>
      </c>
      <c r="C373" s="3">
        <v>45943</v>
      </c>
      <c r="D373" s="2">
        <v>0.53</v>
      </c>
      <c r="E373" s="2">
        <v>0.14000000000000001</v>
      </c>
      <c r="F373" s="2">
        <v>0.33</v>
      </c>
      <c r="G373">
        <v>3.4920634917131467E-2</v>
      </c>
      <c r="H373" s="2">
        <v>4.8920581318217381E-2</v>
      </c>
      <c r="I373" s="2">
        <v>4.8901617362226209E-2</v>
      </c>
      <c r="J373" s="2">
        <v>4.8978193857746245E-2</v>
      </c>
      <c r="K373">
        <v>4.8926746166950502E-2</v>
      </c>
      <c r="L373">
        <v>4.8914365120722614E-2</v>
      </c>
    </row>
    <row r="374" spans="1:12" x14ac:dyDescent="0.25">
      <c r="A374" t="s">
        <v>131</v>
      </c>
      <c r="B374" s="2" t="s">
        <v>132</v>
      </c>
      <c r="C374" s="3">
        <v>45873</v>
      </c>
      <c r="D374" s="2">
        <v>0.72</v>
      </c>
      <c r="E374" s="2">
        <v>0.09</v>
      </c>
      <c r="F374" s="2">
        <v>0.19</v>
      </c>
      <c r="G374">
        <v>-1.0917030570860888E-2</v>
      </c>
      <c r="H374" s="2">
        <v>-1.0915596304630442E-2</v>
      </c>
      <c r="I374" s="2">
        <v>-1.0914013367551368E-2</v>
      </c>
      <c r="J374" s="2">
        <v>-1.0912468075226462E-2</v>
      </c>
      <c r="K374">
        <v>-1.0909687474366409E-2</v>
      </c>
      <c r="L374">
        <v>-1.0936576302677154E-2</v>
      </c>
    </row>
    <row r="375" spans="1:12" x14ac:dyDescent="0.25">
      <c r="B375" s="2" t="s">
        <v>132</v>
      </c>
      <c r="C375" s="3">
        <v>45887</v>
      </c>
      <c r="D375" s="2">
        <v>0.67</v>
      </c>
      <c r="E375" s="2">
        <v>0.1</v>
      </c>
      <c r="F375" s="2">
        <v>0.23</v>
      </c>
      <c r="G375">
        <v>-2.7593818981929513E-2</v>
      </c>
      <c r="H375" s="2">
        <v>-1.655644735850469E-2</v>
      </c>
      <c r="I375" s="2">
        <v>1.7164689781021907E-2</v>
      </c>
      <c r="J375" s="2">
        <v>-5.0528169014084544E-2</v>
      </c>
      <c r="K375">
        <v>-1.6586498590147634E-2</v>
      </c>
      <c r="L375">
        <v>-3.1720958032702917E-2</v>
      </c>
    </row>
    <row r="376" spans="1:12" x14ac:dyDescent="0.25">
      <c r="B376" s="2" t="s">
        <v>132</v>
      </c>
      <c r="C376" s="3">
        <v>45901</v>
      </c>
      <c r="D376" s="2">
        <v>0.62</v>
      </c>
      <c r="E376" s="2">
        <v>0.1</v>
      </c>
      <c r="F376" s="2">
        <v>0.28000000000000003</v>
      </c>
      <c r="G376">
        <v>2.2701475569418049E-3</v>
      </c>
      <c r="H376" s="2">
        <v>-1.2347393780323825E-2</v>
      </c>
      <c r="I376" s="2">
        <v>-1.2343256526695394E-2</v>
      </c>
      <c r="J376" s="2">
        <v>-1.2361703442734283E-2</v>
      </c>
      <c r="K376">
        <v>-1.2312362961713567E-2</v>
      </c>
      <c r="L376">
        <v>-1.2345679012345494E-2</v>
      </c>
    </row>
    <row r="377" spans="1:12" x14ac:dyDescent="0.25">
      <c r="B377" s="2" t="s">
        <v>132</v>
      </c>
      <c r="C377" s="3">
        <v>45915</v>
      </c>
      <c r="D377" s="2">
        <v>0.8</v>
      </c>
      <c r="E377" s="2">
        <v>0.06</v>
      </c>
      <c r="F377" s="2">
        <v>0.14000000000000001</v>
      </c>
      <c r="G377">
        <v>-1.2457531143085931E-2</v>
      </c>
      <c r="H377" s="2">
        <v>-1.9320016875918295E-2</v>
      </c>
      <c r="I377" s="2">
        <v>-1.9318644099866621E-2</v>
      </c>
      <c r="J377" s="2">
        <v>-1.9275298829714099E-2</v>
      </c>
      <c r="K377">
        <v>-1.9339139344262346E-2</v>
      </c>
      <c r="L377">
        <v>-1.9330357142857291E-2</v>
      </c>
    </row>
    <row r="378" spans="1:12" x14ac:dyDescent="0.25">
      <c r="B378" s="2" t="s">
        <v>132</v>
      </c>
      <c r="C378" s="3">
        <v>45929</v>
      </c>
      <c r="D378" s="2">
        <v>0.78</v>
      </c>
      <c r="E378" s="2">
        <v>0.14000000000000001</v>
      </c>
      <c r="F378" s="2">
        <v>0.08</v>
      </c>
      <c r="G378">
        <v>4.0137614679519283E-2</v>
      </c>
      <c r="H378" s="2">
        <v>4.1715497930543327E-2</v>
      </c>
      <c r="I378" s="2">
        <v>4.1713695868183125E-2</v>
      </c>
      <c r="J378" s="2">
        <v>4.1669325505711272E-2</v>
      </c>
      <c r="K378">
        <v>4.1704758173349052E-2</v>
      </c>
      <c r="L378">
        <v>4.1698912004370252E-2</v>
      </c>
    </row>
    <row r="379" spans="1:12" x14ac:dyDescent="0.25">
      <c r="B379" s="2" t="s">
        <v>132</v>
      </c>
      <c r="C379" s="3">
        <v>45943</v>
      </c>
      <c r="D379" s="2">
        <v>0.77</v>
      </c>
      <c r="E379" s="2">
        <v>0.11</v>
      </c>
      <c r="F379" s="2">
        <v>0.12</v>
      </c>
      <c r="G379">
        <v>2.2050716676186815E-3</v>
      </c>
      <c r="H379" s="2">
        <v>1.1126775940720528E-2</v>
      </c>
      <c r="I379" s="2">
        <v>1.1122121074613668E-2</v>
      </c>
      <c r="J379" s="2">
        <v>1.1149228130360202E-2</v>
      </c>
      <c r="K379">
        <v>1.1116218813991465E-2</v>
      </c>
      <c r="L379">
        <v>1.1143643753004449E-2</v>
      </c>
    </row>
    <row r="380" spans="1:12" x14ac:dyDescent="0.25">
      <c r="A380" t="s">
        <v>133</v>
      </c>
      <c r="B380" s="2" t="s">
        <v>134</v>
      </c>
      <c r="C380" s="3">
        <v>45873</v>
      </c>
      <c r="D380" s="2">
        <v>0.69</v>
      </c>
      <c r="E380" s="2">
        <v>0.12</v>
      </c>
      <c r="F380" s="2">
        <v>0.19</v>
      </c>
      <c r="G380">
        <v>2.4902952852336149E-2</v>
      </c>
      <c r="H380" s="2">
        <v>4.0242140022608876E-2</v>
      </c>
      <c r="I380" s="2">
        <v>4.0242865331212567E-2</v>
      </c>
      <c r="J380" s="2">
        <v>3.1805941349844227E-2</v>
      </c>
      <c r="K380">
        <v>4.0246891316999572E-2</v>
      </c>
      <c r="L380">
        <v>4.0246678820338021E-2</v>
      </c>
    </row>
    <row r="381" spans="1:12" x14ac:dyDescent="0.25">
      <c r="B381" s="2" t="s">
        <v>134</v>
      </c>
      <c r="C381" s="3">
        <v>45887</v>
      </c>
      <c r="D381" s="2">
        <v>0.75</v>
      </c>
      <c r="E381" s="2">
        <v>0.1</v>
      </c>
      <c r="F381" s="2">
        <v>0.15</v>
      </c>
      <c r="G381">
        <v>0.24330208837603881</v>
      </c>
      <c r="H381" s="2">
        <v>0.24956455964297422</v>
      </c>
      <c r="I381" s="2">
        <v>0.30491527514272659</v>
      </c>
      <c r="J381" s="2">
        <v>0.24886459382256823</v>
      </c>
      <c r="K381">
        <v>0.24956070193133553</v>
      </c>
      <c r="L381">
        <v>0.20317465641429838</v>
      </c>
    </row>
    <row r="382" spans="1:12" x14ac:dyDescent="0.25">
      <c r="B382" s="2" t="s">
        <v>134</v>
      </c>
      <c r="C382" s="3">
        <v>45901</v>
      </c>
      <c r="D382" s="2">
        <v>0.66</v>
      </c>
      <c r="E382" s="2">
        <v>0.12</v>
      </c>
      <c r="F382" s="2">
        <v>0.22</v>
      </c>
      <c r="G382">
        <v>0.18707939654194267</v>
      </c>
      <c r="H382" s="2">
        <v>-5.5135920876499149E-2</v>
      </c>
      <c r="I382" s="2">
        <v>-5.5135751839718757E-2</v>
      </c>
      <c r="J382" s="2">
        <v>-5.5141432591203E-2</v>
      </c>
      <c r="K382">
        <v>-5.5133751213913652E-2</v>
      </c>
      <c r="L382">
        <v>-5.5140883843135612E-2</v>
      </c>
    </row>
    <row r="383" spans="1:12" x14ac:dyDescent="0.25">
      <c r="B383" s="2" t="s">
        <v>134</v>
      </c>
      <c r="C383" s="3">
        <v>45915</v>
      </c>
      <c r="D383" s="2">
        <v>0.82</v>
      </c>
      <c r="E383" s="2">
        <v>0.06</v>
      </c>
      <c r="F383" s="2">
        <v>0.12</v>
      </c>
      <c r="G383">
        <v>0.25782183026042715</v>
      </c>
      <c r="H383" s="2">
        <v>0.22181072683202899</v>
      </c>
      <c r="I383" s="2">
        <v>0.22181062490794357</v>
      </c>
      <c r="J383" s="2">
        <v>0.2199930337861373</v>
      </c>
      <c r="K383">
        <v>0.22181065839089661</v>
      </c>
      <c r="L383">
        <v>0.22181080582703297</v>
      </c>
    </row>
    <row r="384" spans="1:12" x14ac:dyDescent="0.25">
      <c r="B384" s="2" t="s">
        <v>134</v>
      </c>
      <c r="C384" s="3">
        <v>45929</v>
      </c>
      <c r="D384" s="2">
        <v>0.67</v>
      </c>
      <c r="E384" s="2">
        <v>0.14000000000000001</v>
      </c>
      <c r="F384" s="2">
        <v>0.19</v>
      </c>
      <c r="G384">
        <v>-1.4308454954860468E-2</v>
      </c>
      <c r="H384" s="2">
        <v>-3.2575045723778055E-2</v>
      </c>
      <c r="I384" s="2">
        <v>-3.2575056263911634E-2</v>
      </c>
      <c r="J384" s="2">
        <v>-3.2575800833666443E-2</v>
      </c>
      <c r="K384">
        <v>-3.2577702518162409E-2</v>
      </c>
      <c r="L384">
        <v>-3.2575295658840799E-2</v>
      </c>
    </row>
    <row r="385" spans="1:12" x14ac:dyDescent="0.25">
      <c r="B385" s="4" t="s">
        <v>135</v>
      </c>
      <c r="C385" s="3">
        <v>45943</v>
      </c>
      <c r="D385" s="2">
        <v>0.72</v>
      </c>
      <c r="E385" s="2">
        <v>0.14000000000000001</v>
      </c>
      <c r="F385" s="2">
        <v>0.14000000000000001</v>
      </c>
      <c r="G385">
        <v>-0.7705054932823161</v>
      </c>
      <c r="H385" s="2">
        <v>4.7768178155499386E-2</v>
      </c>
      <c r="I385" s="2">
        <v>4.7768162440416838E-2</v>
      </c>
      <c r="J385" s="2">
        <v>4.7779253356942511E-2</v>
      </c>
      <c r="K385">
        <v>4.7768003342630976E-2</v>
      </c>
      <c r="L385">
        <v>4.7768812675116103E-2</v>
      </c>
    </row>
    <row r="386" spans="1:12" x14ac:dyDescent="0.25">
      <c r="A386" t="s">
        <v>136</v>
      </c>
      <c r="B386" s="2" t="s">
        <v>137</v>
      </c>
      <c r="C386" s="3">
        <v>45873</v>
      </c>
      <c r="D386" s="2">
        <v>0.85</v>
      </c>
      <c r="E386" s="2">
        <v>0.04</v>
      </c>
      <c r="F386" s="2">
        <v>0.11</v>
      </c>
      <c r="G386">
        <v>5.7759093403859825E-2</v>
      </c>
      <c r="H386" s="2">
        <v>3.7083314634209719E-2</v>
      </c>
      <c r="I386" s="2">
        <v>3.7084973527144259E-2</v>
      </c>
      <c r="J386" s="2">
        <v>3.7079500391162389E-2</v>
      </c>
      <c r="K386">
        <v>3.7074185985280554E-2</v>
      </c>
      <c r="L386">
        <v>3.7082617692005944E-2</v>
      </c>
    </row>
    <row r="387" spans="1:12" x14ac:dyDescent="0.25">
      <c r="B387" s="2" t="s">
        <v>137</v>
      </c>
      <c r="C387" s="3">
        <v>45887</v>
      </c>
      <c r="D387" s="2">
        <v>0.73</v>
      </c>
      <c r="E387" s="2">
        <v>0.1</v>
      </c>
      <c r="F387" s="2">
        <v>0.17</v>
      </c>
      <c r="G387">
        <v>8.8186164391163363E-2</v>
      </c>
      <c r="H387" s="2">
        <v>8.9085819833238905E-2</v>
      </c>
      <c r="I387" s="2">
        <v>9.3907923465657892E-2</v>
      </c>
      <c r="J387" s="2">
        <v>3.4544201230377054E-2</v>
      </c>
      <c r="K387">
        <v>8.9087963634605208E-2</v>
      </c>
      <c r="L387">
        <v>4.1833474603899093E-2</v>
      </c>
    </row>
    <row r="388" spans="1:12" x14ac:dyDescent="0.25">
      <c r="B388" s="2" t="s">
        <v>137</v>
      </c>
      <c r="C388" s="3">
        <v>45901</v>
      </c>
      <c r="D388" s="2">
        <v>0.76</v>
      </c>
      <c r="E388" s="2">
        <v>0.05</v>
      </c>
      <c r="F388" s="2">
        <v>0.19</v>
      </c>
      <c r="G388">
        <v>5.7167054835076175E-3</v>
      </c>
      <c r="H388" s="2">
        <v>1.2187726114942697E-2</v>
      </c>
      <c r="I388" s="2">
        <v>1.2187246145918316E-2</v>
      </c>
      <c r="J388" s="2">
        <v>1.2182090190211554E-2</v>
      </c>
      <c r="K388">
        <v>1.2188488649608692E-2</v>
      </c>
      <c r="L388">
        <v>1.2191305871603317E-2</v>
      </c>
    </row>
    <row r="389" spans="1:12" x14ac:dyDescent="0.25">
      <c r="B389" s="2" t="s">
        <v>137</v>
      </c>
      <c r="C389" s="3">
        <v>45915</v>
      </c>
      <c r="D389" s="2">
        <v>0.79</v>
      </c>
      <c r="E389" s="2">
        <v>0.08</v>
      </c>
      <c r="F389" s="2">
        <v>0.13</v>
      </c>
      <c r="G389">
        <v>0.21205473413865814</v>
      </c>
      <c r="H389" s="2">
        <v>0.20506844843330968</v>
      </c>
      <c r="I389" s="2">
        <v>0.20506875048631121</v>
      </c>
      <c r="J389" s="2">
        <v>0.20507501987281396</v>
      </c>
      <c r="K389">
        <v>0.20507112071329101</v>
      </c>
      <c r="L389">
        <v>0.20506510690392851</v>
      </c>
    </row>
    <row r="390" spans="1:12" x14ac:dyDescent="0.25">
      <c r="B390" s="2" t="s">
        <v>137</v>
      </c>
      <c r="C390" s="3">
        <v>45929</v>
      </c>
      <c r="D390" s="2">
        <v>0.79</v>
      </c>
      <c r="E390" s="2">
        <v>0.06</v>
      </c>
      <c r="F390" s="2">
        <v>0.15</v>
      </c>
      <c r="G390">
        <v>-5.0544662309368216E-2</v>
      </c>
      <c r="H390" s="2">
        <v>-3.2905858350335174E-2</v>
      </c>
      <c r="I390" s="2">
        <v>-3.2906072781879486E-2</v>
      </c>
      <c r="J390" s="2">
        <v>-3.2909722436947959E-2</v>
      </c>
      <c r="K390">
        <v>-3.2908028612511693E-2</v>
      </c>
      <c r="L390">
        <v>-3.2909184197023982E-2</v>
      </c>
    </row>
    <row r="391" spans="1:12" x14ac:dyDescent="0.25">
      <c r="B391" s="2" t="s">
        <v>137</v>
      </c>
      <c r="C391" s="3">
        <v>45943</v>
      </c>
      <c r="D391" s="2">
        <v>0.78</v>
      </c>
      <c r="E391" s="2">
        <v>0.08</v>
      </c>
      <c r="F391" s="2">
        <v>0.14000000000000001</v>
      </c>
      <c r="G391">
        <v>-4.818724185406157E-2</v>
      </c>
      <c r="H391" s="2">
        <v>-5.2751663336743033E-2</v>
      </c>
      <c r="I391" s="2">
        <v>-5.2752560465910363E-2</v>
      </c>
      <c r="J391" s="2">
        <v>-5.2754982415005786E-2</v>
      </c>
      <c r="K391">
        <v>-5.2744998400240842E-2</v>
      </c>
      <c r="L391">
        <v>-5.2746623091370327E-2</v>
      </c>
    </row>
    <row r="392" spans="1:12" x14ac:dyDescent="0.25">
      <c r="A392" t="s">
        <v>138</v>
      </c>
      <c r="B392" s="2" t="s">
        <v>139</v>
      </c>
      <c r="C392" s="3">
        <v>45873</v>
      </c>
      <c r="D392" s="2">
        <v>0.7</v>
      </c>
      <c r="E392" s="2">
        <v>0.11</v>
      </c>
      <c r="F392" s="2">
        <v>0.19</v>
      </c>
      <c r="G392">
        <v>1.517150395721964E-2</v>
      </c>
      <c r="H392" s="2">
        <v>2.245996698842867E-2</v>
      </c>
      <c r="I392" s="2">
        <v>2.2460341006265049E-2</v>
      </c>
      <c r="J392" s="2">
        <v>2.2443237584243929E-2</v>
      </c>
      <c r="K392">
        <v>2.2392938868911302E-2</v>
      </c>
      <c r="L392">
        <v>2.2506982092984941E-2</v>
      </c>
    </row>
    <row r="393" spans="1:12" x14ac:dyDescent="0.25">
      <c r="B393" s="2" t="s">
        <v>139</v>
      </c>
      <c r="C393" s="3">
        <v>45887</v>
      </c>
      <c r="D393" s="2">
        <v>0.91</v>
      </c>
      <c r="E393" s="2">
        <v>0.03</v>
      </c>
      <c r="F393" s="2">
        <v>0.06</v>
      </c>
      <c r="G393">
        <v>-3.7686809611688278E-2</v>
      </c>
      <c r="H393" s="2">
        <v>-2.1966597924202982E-2</v>
      </c>
      <c r="I393" s="2">
        <v>-2.1966955690584995E-2</v>
      </c>
      <c r="J393" s="2">
        <v>-2.1950595161909635E-2</v>
      </c>
      <c r="K393">
        <v>-2.1902478017585828E-2</v>
      </c>
      <c r="L393">
        <v>-2.2011568123393211E-2</v>
      </c>
    </row>
    <row r="394" spans="1:12" x14ac:dyDescent="0.25">
      <c r="B394" s="2" t="s">
        <v>139</v>
      </c>
      <c r="C394" s="3">
        <v>45901</v>
      </c>
      <c r="D394" s="2">
        <v>0.78</v>
      </c>
      <c r="E394" s="2">
        <v>7.0000000000000007E-2</v>
      </c>
      <c r="F394" s="2">
        <v>0.17</v>
      </c>
      <c r="G394">
        <v>-3.8487508442340779E-2</v>
      </c>
      <c r="H394" s="2">
        <v>-5.2179022961189772E-2</v>
      </c>
      <c r="I394" s="2">
        <v>-2.062791225284024E-2</v>
      </c>
      <c r="J394" s="2">
        <v>-8.5977883923313458E-2</v>
      </c>
      <c r="K394">
        <v>-5.2141222621771885E-2</v>
      </c>
      <c r="L394">
        <v>-5.0271069492360883E-2</v>
      </c>
    </row>
    <row r="395" spans="1:12" x14ac:dyDescent="0.25">
      <c r="B395" s="2" t="s">
        <v>139</v>
      </c>
      <c r="C395" s="3">
        <v>45915</v>
      </c>
      <c r="D395" s="2">
        <v>0.88</v>
      </c>
      <c r="E395" s="2">
        <v>0.05</v>
      </c>
      <c r="F395" s="2">
        <v>7.0000000000000007E-2</v>
      </c>
      <c r="G395">
        <v>-2.1769662923289097E-2</v>
      </c>
      <c r="H395" s="2">
        <v>-4.0417946917823896E-2</v>
      </c>
      <c r="I395" s="2">
        <v>-4.0423029633457591E-2</v>
      </c>
      <c r="J395" s="2">
        <v>-4.0375116329014249E-2</v>
      </c>
      <c r="K395">
        <v>-4.0524228315226708E-2</v>
      </c>
      <c r="L395">
        <v>-4.0477426050856219E-2</v>
      </c>
    </row>
    <row r="396" spans="1:12" x14ac:dyDescent="0.25">
      <c r="B396" s="2" t="s">
        <v>139</v>
      </c>
      <c r="C396" s="3">
        <v>45929</v>
      </c>
      <c r="D396" s="2">
        <v>0.82</v>
      </c>
      <c r="E396" s="2">
        <v>0.02</v>
      </c>
      <c r="F396" s="2">
        <v>0.16</v>
      </c>
      <c r="G396">
        <v>2.4879805132832434E-2</v>
      </c>
      <c r="H396" s="2">
        <v>3.8965851433783699E-2</v>
      </c>
      <c r="I396" s="2">
        <v>3.8968997502344511E-2</v>
      </c>
      <c r="J396" s="2">
        <v>3.9089891831406195E-2</v>
      </c>
      <c r="K396">
        <v>3.900071890726086E-2</v>
      </c>
      <c r="L396">
        <v>3.8939967550027162E-2</v>
      </c>
    </row>
    <row r="397" spans="1:12" x14ac:dyDescent="0.25">
      <c r="B397" s="2" t="s">
        <v>139</v>
      </c>
      <c r="C397" s="3">
        <v>45943</v>
      </c>
      <c r="D397" s="2">
        <v>0.88</v>
      </c>
      <c r="E397" s="2">
        <v>0.03</v>
      </c>
      <c r="F397" s="2">
        <v>0.09</v>
      </c>
      <c r="G397">
        <v>-5.6022408989248439E-3</v>
      </c>
      <c r="H397" s="2">
        <v>-7.6911117817589324E-3</v>
      </c>
      <c r="I397" s="2">
        <v>-7.6855707876816656E-3</v>
      </c>
      <c r="J397" s="2">
        <v>2.7927345825256612E-2</v>
      </c>
      <c r="K397">
        <v>-7.6111399411865769E-3</v>
      </c>
      <c r="L397">
        <v>-7.6349123720285796E-3</v>
      </c>
    </row>
    <row r="398" spans="1:12" x14ac:dyDescent="0.25">
      <c r="A398" t="s">
        <v>140</v>
      </c>
      <c r="B398" s="2" t="s">
        <v>141</v>
      </c>
      <c r="C398" s="3">
        <v>45873</v>
      </c>
      <c r="D398" s="2">
        <v>0.7</v>
      </c>
      <c r="E398" s="2">
        <v>0.08</v>
      </c>
      <c r="F398" s="2">
        <v>0.22</v>
      </c>
      <c r="G398">
        <v>3.5251141554191165E-2</v>
      </c>
      <c r="H398" s="2">
        <v>1.2562787777312776E-2</v>
      </c>
      <c r="I398" s="2">
        <v>1.2564755066799941E-2</v>
      </c>
      <c r="J398" s="2">
        <v>1.258586510534338E-2</v>
      </c>
      <c r="K398">
        <v>1.2572586830283788E-2</v>
      </c>
      <c r="L398">
        <v>1.2550652859072482E-2</v>
      </c>
    </row>
    <row r="399" spans="1:12" x14ac:dyDescent="0.25">
      <c r="B399" s="2" t="s">
        <v>141</v>
      </c>
      <c r="C399" s="3">
        <v>45887</v>
      </c>
      <c r="D399" s="2">
        <v>0.75</v>
      </c>
      <c r="E399" s="2">
        <v>0.03</v>
      </c>
      <c r="F399" s="2">
        <v>0.22</v>
      </c>
      <c r="G399">
        <v>0.16107974594078805</v>
      </c>
      <c r="H399" s="2">
        <v>0.18093643583900457</v>
      </c>
      <c r="I399" s="2">
        <v>9.1843374845730949E-2</v>
      </c>
      <c r="J399" s="2">
        <v>9.4176834820615438E-2</v>
      </c>
      <c r="K399">
        <v>0.1809451673113858</v>
      </c>
      <c r="L399">
        <v>0.12425657273080994</v>
      </c>
    </row>
    <row r="400" spans="1:12" x14ac:dyDescent="0.25">
      <c r="B400" s="2" t="s">
        <v>141</v>
      </c>
      <c r="C400" s="3">
        <v>45901</v>
      </c>
      <c r="D400" s="2">
        <v>0.81</v>
      </c>
      <c r="E400" s="2">
        <v>0.05</v>
      </c>
      <c r="F400" s="2">
        <v>0.14000000000000001</v>
      </c>
      <c r="G400">
        <v>8.4181735296917443E-2</v>
      </c>
      <c r="H400" s="2">
        <v>8.2087723597157616E-2</v>
      </c>
      <c r="I400" s="2">
        <v>8.208824859221503E-2</v>
      </c>
      <c r="J400" s="2">
        <v>8.209716009570385E-2</v>
      </c>
      <c r="K400">
        <v>8.2073483599047273E-2</v>
      </c>
      <c r="L400">
        <v>8.2095271055298638E-2</v>
      </c>
    </row>
    <row r="401" spans="1:12" x14ac:dyDescent="0.25">
      <c r="B401" s="2" t="s">
        <v>141</v>
      </c>
      <c r="C401" s="3">
        <v>45915</v>
      </c>
      <c r="D401" s="2">
        <v>0.81</v>
      </c>
      <c r="E401" s="2">
        <v>0.08</v>
      </c>
      <c r="F401" s="2">
        <v>0.11</v>
      </c>
      <c r="G401">
        <v>2.0322354593293061E-2</v>
      </c>
      <c r="H401" s="2">
        <v>1.5062920548654192E-2</v>
      </c>
      <c r="I401" s="2">
        <v>1.5061084758960903E-2</v>
      </c>
      <c r="J401" s="2">
        <v>1.505450770029409E-2</v>
      </c>
      <c r="K401">
        <v>1.5072291962149761E-2</v>
      </c>
      <c r="L401">
        <v>1.5054598620185515E-2</v>
      </c>
    </row>
    <row r="402" spans="1:12" x14ac:dyDescent="0.25">
      <c r="B402" s="2" t="s">
        <v>141</v>
      </c>
      <c r="C402" s="3">
        <v>45929</v>
      </c>
      <c r="D402" s="2">
        <v>0.67</v>
      </c>
      <c r="E402" s="2">
        <v>0.08</v>
      </c>
      <c r="F402" s="2">
        <v>0.25</v>
      </c>
      <c r="G402">
        <v>-4.4642857142763163E-2</v>
      </c>
      <c r="H402" s="2">
        <v>-2.5651240334473951E-2</v>
      </c>
      <c r="I402" s="2">
        <v>-2.5652419999906487E-2</v>
      </c>
      <c r="J402" s="2">
        <v>-2.5646853809144929E-2</v>
      </c>
      <c r="K402">
        <v>-2.5651185585284841E-2</v>
      </c>
      <c r="L402">
        <v>-2.5656606576193345E-2</v>
      </c>
    </row>
    <row r="403" spans="1:12" x14ac:dyDescent="0.25">
      <c r="B403" s="2" t="s">
        <v>141</v>
      </c>
      <c r="C403" s="3">
        <v>45943</v>
      </c>
      <c r="D403" s="2">
        <v>0.46</v>
      </c>
      <c r="E403" s="2">
        <v>0.16</v>
      </c>
      <c r="F403" s="2">
        <v>0.38</v>
      </c>
      <c r="G403">
        <v>-3.3357296912812362E-2</v>
      </c>
      <c r="H403" s="2">
        <v>-4.3261564628631829E-2</v>
      </c>
      <c r="I403" s="2">
        <v>-7.2646269509402325E-2</v>
      </c>
      <c r="J403" s="2">
        <v>2.9685069984447955E-2</v>
      </c>
      <c r="K403">
        <v>-4.3256779606601015E-2</v>
      </c>
      <c r="L403">
        <v>-8.3939666920749306E-2</v>
      </c>
    </row>
    <row r="404" spans="1:12" x14ac:dyDescent="0.25">
      <c r="A404" t="s">
        <v>142</v>
      </c>
      <c r="B404" s="2" t="s">
        <v>143</v>
      </c>
      <c r="C404" s="3">
        <v>45873</v>
      </c>
      <c r="D404" s="2">
        <v>0.45</v>
      </c>
      <c r="E404" s="2">
        <v>0.3</v>
      </c>
      <c r="F404" s="2">
        <v>25</v>
      </c>
      <c r="G404">
        <v>-3.4462952338396311E-3</v>
      </c>
      <c r="H404" s="2">
        <v>5.7780769662291618E-3</v>
      </c>
      <c r="I404" s="2">
        <v>5.7804093915415399E-3</v>
      </c>
      <c r="J404" s="2">
        <v>5.7934956459926084E-3</v>
      </c>
      <c r="K404">
        <v>5.7356154406409069E-3</v>
      </c>
      <c r="L404">
        <v>5.7781919850885214E-3</v>
      </c>
    </row>
    <row r="405" spans="1:12" x14ac:dyDescent="0.25">
      <c r="B405" s="2" t="s">
        <v>143</v>
      </c>
      <c r="C405" s="3">
        <v>45887</v>
      </c>
      <c r="D405" s="2">
        <v>0.55000000000000004</v>
      </c>
      <c r="E405" s="2">
        <v>0.12</v>
      </c>
      <c r="F405" s="2">
        <v>0.33</v>
      </c>
      <c r="G405">
        <v>3.8040345826118531E-2</v>
      </c>
      <c r="H405" s="2">
        <v>4.4803709871477214E-2</v>
      </c>
      <c r="I405" s="2">
        <v>0.14490663509659377</v>
      </c>
      <c r="J405" s="2">
        <v>3.5196833698494481E-2</v>
      </c>
      <c r="K405">
        <v>4.4808545306417917E-2</v>
      </c>
      <c r="L405">
        <v>3.8732394366197243E-2</v>
      </c>
    </row>
    <row r="406" spans="1:12" x14ac:dyDescent="0.25">
      <c r="B406" s="2" t="s">
        <v>143</v>
      </c>
      <c r="C406" s="3">
        <v>45901</v>
      </c>
      <c r="D406" s="2">
        <v>0.7</v>
      </c>
      <c r="E406" s="2">
        <v>0.12</v>
      </c>
      <c r="F406" s="2">
        <v>0.18</v>
      </c>
      <c r="G406">
        <v>0.11382565241472713</v>
      </c>
      <c r="H406" s="2">
        <v>7.1465613226972466E-2</v>
      </c>
      <c r="I406" s="2">
        <v>7.1470873010650512E-2</v>
      </c>
      <c r="J406" s="2">
        <v>7.1482214788011214E-2</v>
      </c>
      <c r="K406">
        <v>7.1478080055449686E-2</v>
      </c>
      <c r="L406">
        <v>7.1454058876003618E-2</v>
      </c>
    </row>
    <row r="407" spans="1:12" x14ac:dyDescent="0.25">
      <c r="B407" s="2" t="s">
        <v>143</v>
      </c>
      <c r="C407" s="3">
        <v>45915</v>
      </c>
      <c r="D407" s="2">
        <v>0.52</v>
      </c>
      <c r="E407" s="2">
        <v>0.19</v>
      </c>
      <c r="F407" s="2">
        <v>0.28999999999999998</v>
      </c>
      <c r="G407">
        <v>-6.6799601199786951E-2</v>
      </c>
      <c r="H407" s="2">
        <v>-3.1808508366726648E-2</v>
      </c>
      <c r="I407" s="2">
        <v>-3.1812040497622318E-2</v>
      </c>
      <c r="J407" s="2">
        <v>-3.1827449980884374E-2</v>
      </c>
      <c r="K407">
        <v>-3.1778119188161959E-2</v>
      </c>
      <c r="L407">
        <v>-3.180417950212306E-2</v>
      </c>
    </row>
    <row r="408" spans="1:12" x14ac:dyDescent="0.25">
      <c r="B408" s="2" t="s">
        <v>143</v>
      </c>
      <c r="C408" s="3">
        <v>45929</v>
      </c>
      <c r="D408" s="2">
        <v>0.43</v>
      </c>
      <c r="E408" s="2">
        <v>0.2</v>
      </c>
      <c r="F408" s="2">
        <v>0.37</v>
      </c>
      <c r="G408">
        <v>7.4786869871433541E-3</v>
      </c>
      <c r="H408" s="2">
        <v>-1.5879083718057603E-3</v>
      </c>
      <c r="I408" s="2">
        <v>-1.5857769400848228E-3</v>
      </c>
      <c r="J408" s="2">
        <v>-1.5795189048668648E-3</v>
      </c>
      <c r="K408">
        <v>-1.5867713378987913E-3</v>
      </c>
      <c r="L408">
        <v>-1.6338464184366779E-3</v>
      </c>
    </row>
    <row r="409" spans="1:12" x14ac:dyDescent="0.25">
      <c r="B409" s="2" t="s">
        <v>143</v>
      </c>
      <c r="C409" s="3">
        <v>45943</v>
      </c>
      <c r="D409" s="2">
        <v>0.48</v>
      </c>
      <c r="E409" s="2">
        <v>0.18</v>
      </c>
      <c r="F409" s="2">
        <v>0.34</v>
      </c>
      <c r="G409">
        <v>-4.5599151641712923E-2</v>
      </c>
      <c r="H409" s="2">
        <v>-4.4583689217447722E-2</v>
      </c>
      <c r="I409" s="2">
        <v>0.3456948112651001</v>
      </c>
      <c r="J409" s="2">
        <v>-8.3517352756995511E-2</v>
      </c>
      <c r="K409">
        <v>-4.458385612714337E-2</v>
      </c>
      <c r="L409">
        <v>-1.9982773471145659E-2</v>
      </c>
    </row>
    <row r="410" spans="1:12" x14ac:dyDescent="0.25">
      <c r="A410" t="s">
        <v>144</v>
      </c>
      <c r="B410" s="2" t="s">
        <v>145</v>
      </c>
      <c r="C410" s="3">
        <v>45873</v>
      </c>
      <c r="D410" s="2">
        <v>0.78</v>
      </c>
      <c r="E410" s="2">
        <v>0.01</v>
      </c>
      <c r="F410" s="2">
        <v>0.21</v>
      </c>
      <c r="G410">
        <v>3.7634408603498322E-2</v>
      </c>
      <c r="H410" s="2">
        <v>7.7131483455756558E-2</v>
      </c>
      <c r="I410" s="2">
        <v>7.7133496956394806E-2</v>
      </c>
      <c r="J410" s="2">
        <v>0.11280123055887879</v>
      </c>
      <c r="K410">
        <v>7.7038145100972136E-2</v>
      </c>
      <c r="L410">
        <v>7.714505579068856E-2</v>
      </c>
    </row>
    <row r="411" spans="1:12" x14ac:dyDescent="0.25">
      <c r="B411" s="2" t="s">
        <v>145</v>
      </c>
      <c r="C411" s="3">
        <v>45887</v>
      </c>
      <c r="D411" s="2">
        <v>0.73</v>
      </c>
      <c r="E411" s="2">
        <v>0.01</v>
      </c>
      <c r="F411" s="2">
        <v>0.26</v>
      </c>
      <c r="G411">
        <v>1.6839378237305257E-2</v>
      </c>
      <c r="H411" s="2">
        <v>-1.6335685163493052E-2</v>
      </c>
      <c r="I411" s="2">
        <v>8.2641558676209273E-2</v>
      </c>
      <c r="J411" s="2">
        <v>-4.0086008293656904E-2</v>
      </c>
      <c r="K411">
        <v>-1.6319444444444383E-2</v>
      </c>
      <c r="L411">
        <v>-1.1609215931416237E-2</v>
      </c>
    </row>
    <row r="412" spans="1:12" x14ac:dyDescent="0.25">
      <c r="B412" s="2" t="s">
        <v>145</v>
      </c>
      <c r="C412" s="3">
        <v>45901</v>
      </c>
      <c r="D412" s="2">
        <v>0.84</v>
      </c>
      <c r="E412" s="2">
        <v>0.02</v>
      </c>
      <c r="F412" s="2">
        <v>0.14000000000000001</v>
      </c>
      <c r="G412">
        <v>2.8025477705880725E-2</v>
      </c>
      <c r="H412" s="2">
        <v>2.6816704822391232E-2</v>
      </c>
      <c r="I412" s="2">
        <v>2.6822800771398807E-2</v>
      </c>
      <c r="J412" s="2">
        <v>2.6773333333333347E-2</v>
      </c>
      <c r="K412">
        <v>2.6826685492410858E-2</v>
      </c>
      <c r="L412">
        <v>2.6743765811348096E-2</v>
      </c>
    </row>
    <row r="413" spans="1:12" x14ac:dyDescent="0.25">
      <c r="B413" s="2" t="s">
        <v>145</v>
      </c>
      <c r="C413" s="3">
        <v>45915</v>
      </c>
      <c r="D413" s="2">
        <v>0.73</v>
      </c>
      <c r="E413" s="2">
        <v>0.08</v>
      </c>
      <c r="F413" s="2">
        <v>0.19</v>
      </c>
      <c r="G413">
        <v>9.9132589894134378E-3</v>
      </c>
      <c r="H413" s="2">
        <v>-5.2232700727302267E-2</v>
      </c>
      <c r="I413" s="2">
        <v>-5.2244264056560311E-2</v>
      </c>
      <c r="J413" s="2">
        <v>-5.2202368585082086E-2</v>
      </c>
      <c r="K413">
        <v>-5.2251632863526958E-2</v>
      </c>
      <c r="L413">
        <v>-5.2270327349524914E-2</v>
      </c>
    </row>
    <row r="414" spans="1:12" x14ac:dyDescent="0.25">
      <c r="B414" s="2" t="s">
        <v>145</v>
      </c>
      <c r="C414" s="3">
        <v>45929</v>
      </c>
      <c r="D414" s="2">
        <v>0.89</v>
      </c>
      <c r="E414" s="2">
        <v>0.01</v>
      </c>
      <c r="F414" s="2">
        <v>0.1</v>
      </c>
      <c r="G414">
        <v>5.1533742325742142E-2</v>
      </c>
      <c r="H414" s="2">
        <v>0.13123322235185886</v>
      </c>
      <c r="I414" s="2">
        <v>0.13123672151138968</v>
      </c>
      <c r="J414" s="2">
        <v>0.13119964925741209</v>
      </c>
      <c r="K414">
        <v>0.13130214000725429</v>
      </c>
      <c r="L414">
        <v>0.13129062209842152</v>
      </c>
    </row>
    <row r="415" spans="1:12" x14ac:dyDescent="0.25">
      <c r="B415" s="2" t="s">
        <v>145</v>
      </c>
      <c r="C415" s="3">
        <v>45943</v>
      </c>
      <c r="D415" s="2">
        <v>0.82</v>
      </c>
      <c r="E415" s="2">
        <v>0.05</v>
      </c>
      <c r="F415" s="2">
        <v>0.13</v>
      </c>
      <c r="G415">
        <v>7.7012835476356553E-2</v>
      </c>
      <c r="H415" s="2">
        <v>7.0762548424424324E-2</v>
      </c>
      <c r="I415" s="2">
        <v>7.0769256682780654E-2</v>
      </c>
      <c r="J415" s="2">
        <v>0.10328956930381283</v>
      </c>
      <c r="K415">
        <v>7.0695735812760549E-2</v>
      </c>
      <c r="L415">
        <v>7.0748522652659268E-2</v>
      </c>
    </row>
    <row r="416" spans="1:12" x14ac:dyDescent="0.25">
      <c r="A416" t="s">
        <v>146</v>
      </c>
      <c r="B416" s="2" t="s">
        <v>147</v>
      </c>
      <c r="C416" s="3">
        <v>45873</v>
      </c>
      <c r="D416" s="2">
        <v>0.75</v>
      </c>
      <c r="E416" s="2">
        <v>0.09</v>
      </c>
      <c r="F416" s="2">
        <v>0.16</v>
      </c>
      <c r="G416">
        <v>-1.7636684289772677E-3</v>
      </c>
      <c r="H416" s="2">
        <v>-3.5186068702291054E-3</v>
      </c>
      <c r="I416" s="2">
        <v>-3.5233160621761543E-3</v>
      </c>
      <c r="J416" s="2">
        <v>-3.7101702313399811E-3</v>
      </c>
      <c r="K416">
        <v>-3.3003300330032804E-3</v>
      </c>
      <c r="L416">
        <v>-3.2546786004881822E-3</v>
      </c>
    </row>
    <row r="417" spans="1:12" x14ac:dyDescent="0.25">
      <c r="B417" s="2" t="s">
        <v>147</v>
      </c>
      <c r="C417" s="3">
        <v>45887</v>
      </c>
      <c r="D417" s="2">
        <v>0.5</v>
      </c>
      <c r="E417" s="2">
        <v>0.28000000000000003</v>
      </c>
      <c r="F417" s="2">
        <v>0.22</v>
      </c>
      <c r="G417">
        <v>-5.3003533599436702E-3</v>
      </c>
      <c r="H417" s="2">
        <v>5.30652143555373E-3</v>
      </c>
      <c r="I417" s="2">
        <v>5.3131145061261981E-3</v>
      </c>
      <c r="J417" s="2">
        <v>5.4764512595837948E-3</v>
      </c>
      <c r="K417">
        <v>4.9668874172184557E-3</v>
      </c>
      <c r="L417">
        <v>5.7142857142857646E-3</v>
      </c>
    </row>
    <row r="418" spans="1:12" x14ac:dyDescent="0.25">
      <c r="B418" s="2" t="s">
        <v>147</v>
      </c>
      <c r="C418" s="3">
        <v>45901</v>
      </c>
      <c r="D418" s="2">
        <v>0.8</v>
      </c>
      <c r="E418" s="2">
        <v>0.11</v>
      </c>
      <c r="F418" s="2">
        <v>0.09</v>
      </c>
      <c r="G418">
        <v>-3.5523978658325316E-3</v>
      </c>
      <c r="H418" s="2">
        <v>-1.4089258428749972E-2</v>
      </c>
      <c r="I418" s="2">
        <v>2.4506761458744603E-2</v>
      </c>
      <c r="J418" s="2">
        <v>-2.7668845315904234E-2</v>
      </c>
      <c r="K418">
        <v>-1.4003294892915925E-2</v>
      </c>
      <c r="L418">
        <v>-8.1168831168833494E-4</v>
      </c>
    </row>
    <row r="419" spans="1:12" x14ac:dyDescent="0.25">
      <c r="B419" s="2" t="s">
        <v>147</v>
      </c>
      <c r="C419" s="3">
        <v>45915</v>
      </c>
      <c r="D419" s="2">
        <v>0.8</v>
      </c>
      <c r="E419" s="2">
        <v>0.08</v>
      </c>
      <c r="F419" s="2">
        <v>0.12</v>
      </c>
      <c r="G419">
        <v>-2.4955436722518518E-2</v>
      </c>
      <c r="H419" s="2">
        <v>-1.7853189219652642E-2</v>
      </c>
      <c r="I419" s="2">
        <v>-1.7862388015861309E-2</v>
      </c>
      <c r="J419" s="2">
        <v>-1.7925162446784566E-2</v>
      </c>
      <c r="K419">
        <v>-1.7543859649122844E-2</v>
      </c>
      <c r="L419">
        <v>-1.7871649065800223E-2</v>
      </c>
    </row>
    <row r="420" spans="1:12" x14ac:dyDescent="0.25">
      <c r="B420" s="2" t="s">
        <v>147</v>
      </c>
      <c r="C420" s="3">
        <v>45929</v>
      </c>
      <c r="D420" s="2">
        <v>0.79</v>
      </c>
      <c r="E420" s="2">
        <v>0.04</v>
      </c>
      <c r="F420" s="2">
        <v>0.17</v>
      </c>
      <c r="G420">
        <v>6.2157221203150259E-2</v>
      </c>
      <c r="H420" s="2">
        <v>7.4534797934256838E-2</v>
      </c>
      <c r="I420" s="2">
        <v>7.4543449410269441E-2</v>
      </c>
      <c r="J420" s="2">
        <v>7.460643394934964E-2</v>
      </c>
      <c r="K420">
        <v>7.3979591836734693E-2</v>
      </c>
      <c r="L420">
        <v>7.4441687344913104E-2</v>
      </c>
    </row>
    <row r="421" spans="1:12" x14ac:dyDescent="0.25">
      <c r="B421" s="2" t="s">
        <v>147</v>
      </c>
      <c r="C421" s="3">
        <v>45943</v>
      </c>
      <c r="D421" s="2">
        <v>0.81</v>
      </c>
      <c r="E421" s="2">
        <v>0.09</v>
      </c>
      <c r="F421" s="2">
        <v>0.1</v>
      </c>
      <c r="G421">
        <v>-1.7211703959434239E-2</v>
      </c>
      <c r="H421" s="2">
        <v>-3.3833654377967995E-2</v>
      </c>
      <c r="I421" s="2">
        <v>-3.3833736322994856E-2</v>
      </c>
      <c r="J421" s="2">
        <v>-3.3970276008492485E-2</v>
      </c>
      <c r="K421">
        <v>-3.3254156769596165E-2</v>
      </c>
      <c r="L421">
        <v>-3.3872209391839783E-2</v>
      </c>
    </row>
    <row r="422" spans="1:12" x14ac:dyDescent="0.25">
      <c r="A422" t="s">
        <v>148</v>
      </c>
      <c r="B422" s="2" t="s">
        <v>149</v>
      </c>
      <c r="C422" s="3">
        <v>45873</v>
      </c>
      <c r="D422" s="2">
        <v>0.79</v>
      </c>
      <c r="E422" s="2">
        <v>0.06</v>
      </c>
      <c r="F422" s="2">
        <v>0.15</v>
      </c>
      <c r="G422">
        <v>5.1222134039638628E-2</v>
      </c>
      <c r="H422" s="2">
        <v>6.1602623511798717E-2</v>
      </c>
      <c r="I422" s="2">
        <v>6.1606268765539866E-2</v>
      </c>
      <c r="J422" s="2">
        <v>6.1669666580954789E-2</v>
      </c>
      <c r="K422">
        <v>6.1612693699545126E-2</v>
      </c>
      <c r="L422">
        <v>6.1583151779230093E-2</v>
      </c>
    </row>
    <row r="423" spans="1:12" x14ac:dyDescent="0.25">
      <c r="B423" s="2" t="s">
        <v>149</v>
      </c>
      <c r="C423" s="3">
        <v>45887</v>
      </c>
      <c r="D423" s="2">
        <v>0.76</v>
      </c>
      <c r="E423" s="2">
        <v>0.04</v>
      </c>
      <c r="F423" s="2">
        <v>0.2</v>
      </c>
      <c r="G423">
        <v>2.2222222222095561E-2</v>
      </c>
      <c r="H423" s="2">
        <v>1.4303845921389351E-3</v>
      </c>
      <c r="I423" s="2">
        <v>-9.7468466765186029E-2</v>
      </c>
      <c r="J423" s="2">
        <v>-2.0950228070883734E-2</v>
      </c>
      <c r="K423">
        <v>1.4421816274802477E-3</v>
      </c>
      <c r="L423">
        <v>-2.7409130295982041E-2</v>
      </c>
    </row>
    <row r="424" spans="1:12" x14ac:dyDescent="0.25">
      <c r="B424" s="2" t="s">
        <v>149</v>
      </c>
      <c r="C424" s="3">
        <v>45901</v>
      </c>
      <c r="D424" s="2">
        <v>0.8</v>
      </c>
      <c r="E424" s="2">
        <v>0.05</v>
      </c>
      <c r="F424" s="2">
        <v>0.15</v>
      </c>
      <c r="G424">
        <v>-2.3629489605802502E-2</v>
      </c>
      <c r="H424" s="2">
        <v>4.2783187146267889E-3</v>
      </c>
      <c r="I424" s="2">
        <v>4.2794237099739729E-3</v>
      </c>
      <c r="J424" s="2">
        <v>4.2467221901543745E-3</v>
      </c>
      <c r="K424">
        <v>4.2766746672484434E-3</v>
      </c>
      <c r="L424">
        <v>4.2670918128107039E-3</v>
      </c>
    </row>
    <row r="425" spans="1:12" x14ac:dyDescent="0.25">
      <c r="B425" s="2" t="s">
        <v>149</v>
      </c>
      <c r="C425" s="3">
        <v>45915</v>
      </c>
      <c r="D425" s="2">
        <v>0.75</v>
      </c>
      <c r="E425" s="2">
        <v>0.12</v>
      </c>
      <c r="F425" s="2">
        <v>0.13</v>
      </c>
      <c r="G425">
        <v>0.11181026137793239</v>
      </c>
      <c r="H425" s="2">
        <v>5.4923812449085861E-2</v>
      </c>
      <c r="I425" s="2">
        <v>5.4927185189284536E-2</v>
      </c>
      <c r="J425" s="2">
        <v>5.4932873506589444E-2</v>
      </c>
      <c r="K425">
        <v>5.4925476904358533E-2</v>
      </c>
      <c r="L425">
        <v>5.4909651211654253E-2</v>
      </c>
    </row>
    <row r="426" spans="1:12" x14ac:dyDescent="0.25">
      <c r="B426" s="2" t="s">
        <v>149</v>
      </c>
      <c r="C426" s="3">
        <v>45929</v>
      </c>
      <c r="D426" s="2">
        <v>0.79</v>
      </c>
      <c r="E426" s="2">
        <v>0.05</v>
      </c>
      <c r="F426" s="2">
        <v>0.16</v>
      </c>
      <c r="G426">
        <v>-4.3535045727184024E-3</v>
      </c>
      <c r="H426" s="2">
        <v>3.0521402009652702E-2</v>
      </c>
      <c r="I426" s="2">
        <v>3.0518856884598912E-2</v>
      </c>
      <c r="J426" s="2">
        <v>3.0550690795874687E-2</v>
      </c>
      <c r="K426">
        <v>3.0522716974914366E-2</v>
      </c>
      <c r="L426">
        <v>3.0540432877439891E-2</v>
      </c>
    </row>
    <row r="427" spans="1:12" x14ac:dyDescent="0.25">
      <c r="B427" s="2" t="s">
        <v>149</v>
      </c>
      <c r="C427" s="3">
        <v>45943</v>
      </c>
      <c r="D427" s="2">
        <v>0.81</v>
      </c>
      <c r="E427" s="2">
        <v>7.0000000000000007E-2</v>
      </c>
      <c r="F427" s="2">
        <v>0.12</v>
      </c>
      <c r="G427">
        <v>1.7490161810843278E-3</v>
      </c>
      <c r="H427" s="2">
        <v>-2.1773913684398558E-3</v>
      </c>
      <c r="I427" s="2">
        <v>-2.1771733554706127E-3</v>
      </c>
      <c r="J427" s="2">
        <v>3.4592145015105616E-2</v>
      </c>
      <c r="K427">
        <v>-2.1984171396592922E-3</v>
      </c>
      <c r="L427">
        <v>-2.1904393763690693E-3</v>
      </c>
    </row>
    <row r="428" spans="1:12" x14ac:dyDescent="0.25">
      <c r="A428" t="s">
        <v>150</v>
      </c>
      <c r="B428" s="2" t="s">
        <v>151</v>
      </c>
      <c r="C428" s="3">
        <v>45873</v>
      </c>
      <c r="D428" s="2">
        <v>0.78</v>
      </c>
      <c r="E428" s="2">
        <v>0.02</v>
      </c>
      <c r="F428" s="2">
        <v>0.2</v>
      </c>
      <c r="G428">
        <v>-4.5682960261385951E-3</v>
      </c>
      <c r="H428" s="2">
        <v>-4.6069329995480706E-4</v>
      </c>
      <c r="I428" s="2">
        <v>-4.5702232378276635E-4</v>
      </c>
      <c r="J428" s="2">
        <v>-4.5244051737904794E-4</v>
      </c>
      <c r="K428">
        <v>-4.5907660020981305E-4</v>
      </c>
      <c r="L428">
        <v>-4.3517557660751677E-4</v>
      </c>
    </row>
    <row r="429" spans="1:12" x14ac:dyDescent="0.25">
      <c r="B429" s="2" t="s">
        <v>151</v>
      </c>
      <c r="C429" s="3">
        <v>45887</v>
      </c>
      <c r="D429" s="2">
        <v>0.77</v>
      </c>
      <c r="E429" s="2">
        <v>0</v>
      </c>
      <c r="F429" s="2">
        <v>0.23</v>
      </c>
      <c r="G429">
        <v>-8.7195961495148602E-3</v>
      </c>
      <c r="H429" s="2">
        <v>-1.8349262116166103E-3</v>
      </c>
      <c r="I429" s="2">
        <v>-2.1982273494653912E-2</v>
      </c>
      <c r="J429" s="2">
        <v>-4.5743802753148592E-2</v>
      </c>
      <c r="K429">
        <v>-1.8371497933205917E-3</v>
      </c>
      <c r="L429">
        <v>-4.9397186872069794E-2</v>
      </c>
    </row>
    <row r="430" spans="1:12" x14ac:dyDescent="0.25">
      <c r="B430" s="2" t="s">
        <v>151</v>
      </c>
      <c r="C430" s="3">
        <v>45901</v>
      </c>
      <c r="D430" s="2">
        <v>0.62</v>
      </c>
      <c r="E430" s="2">
        <v>0.13</v>
      </c>
      <c r="F430" s="2">
        <v>0.25</v>
      </c>
      <c r="G430">
        <v>3.8888888891514518E-2</v>
      </c>
      <c r="H430" s="2">
        <v>2.2530057501306804E-2</v>
      </c>
      <c r="I430" s="2">
        <v>2.2530298126371091E-2</v>
      </c>
      <c r="J430" s="2">
        <v>2.2545271910488569E-2</v>
      </c>
      <c r="K430">
        <v>2.2513639650299015E-2</v>
      </c>
      <c r="L430">
        <v>2.2511890082790309E-2</v>
      </c>
    </row>
    <row r="431" spans="1:12" x14ac:dyDescent="0.25">
      <c r="B431" s="2" t="s">
        <v>151</v>
      </c>
      <c r="C431" s="3">
        <v>45915</v>
      </c>
      <c r="D431" s="2">
        <v>0.71</v>
      </c>
      <c r="E431" s="2">
        <v>0.02</v>
      </c>
      <c r="F431" s="2">
        <v>0.27</v>
      </c>
      <c r="G431">
        <v>1.1140819965734013E-2</v>
      </c>
      <c r="H431" s="2">
        <v>2.6975444336520042E-2</v>
      </c>
      <c r="I431" s="2">
        <v>2.6979619111259515E-2</v>
      </c>
      <c r="J431" s="2">
        <v>2.6987202226648837E-2</v>
      </c>
      <c r="K431">
        <v>2.7000096428915842E-2</v>
      </c>
      <c r="L431">
        <v>2.6977673649393616E-2</v>
      </c>
    </row>
    <row r="432" spans="1:12" x14ac:dyDescent="0.25">
      <c r="B432" s="2" t="s">
        <v>151</v>
      </c>
      <c r="C432" s="3">
        <v>45929</v>
      </c>
      <c r="D432" s="2">
        <v>0.63</v>
      </c>
      <c r="E432" s="2">
        <v>0.03</v>
      </c>
      <c r="F432" s="2">
        <v>0.34</v>
      </c>
      <c r="G432">
        <v>3.5257822828286739E-2</v>
      </c>
      <c r="H432" s="2">
        <v>3.0211893936879865E-2</v>
      </c>
      <c r="I432" s="2">
        <v>3.0209113674792933E-2</v>
      </c>
      <c r="J432" s="2">
        <v>5.5638218726750996E-2</v>
      </c>
      <c r="K432">
        <v>3.0202497574410757E-2</v>
      </c>
      <c r="L432">
        <v>3.0227798839198867E-2</v>
      </c>
    </row>
    <row r="433" spans="1:12" x14ac:dyDescent="0.25">
      <c r="B433" s="2" t="s">
        <v>151</v>
      </c>
      <c r="C433" s="3">
        <v>45943</v>
      </c>
      <c r="D433" s="2">
        <v>0.83</v>
      </c>
      <c r="E433" s="2">
        <v>0.02</v>
      </c>
      <c r="F433" s="2">
        <v>0.15</v>
      </c>
      <c r="G433">
        <v>-1.5751383568369012E-2</v>
      </c>
      <c r="H433" s="2">
        <v>-1.742320221303259E-2</v>
      </c>
      <c r="I433" s="2">
        <v>-1.7426930716108052E-2</v>
      </c>
      <c r="J433" s="2">
        <v>-1.7442738484772135E-2</v>
      </c>
      <c r="K433">
        <v>-1.7407947502734139E-2</v>
      </c>
      <c r="L433">
        <v>-1.7422170118535918E-2</v>
      </c>
    </row>
    <row r="434" spans="1:12" x14ac:dyDescent="0.25">
      <c r="A434" t="s">
        <v>152</v>
      </c>
      <c r="B434" s="2" t="s">
        <v>153</v>
      </c>
      <c r="C434" s="3">
        <v>45873</v>
      </c>
      <c r="D434" s="2">
        <v>0.72</v>
      </c>
      <c r="E434" s="2">
        <v>0.1</v>
      </c>
      <c r="F434" s="2">
        <v>0.18</v>
      </c>
      <c r="G434">
        <v>5.0662061021683066E-2</v>
      </c>
      <c r="H434" s="2">
        <v>6.7904179509267151E-2</v>
      </c>
      <c r="I434" s="2">
        <v>6.7904389984882629E-2</v>
      </c>
      <c r="J434" s="2">
        <v>6.7999416314023023E-2</v>
      </c>
      <c r="K434">
        <v>6.7733990147783321E-2</v>
      </c>
      <c r="L434">
        <v>6.7895545314900177E-2</v>
      </c>
    </row>
    <row r="435" spans="1:12" x14ac:dyDescent="0.25">
      <c r="B435" s="2" t="s">
        <v>153</v>
      </c>
      <c r="C435" s="3">
        <v>45887</v>
      </c>
      <c r="D435" s="2">
        <v>0.68</v>
      </c>
      <c r="E435" s="2">
        <v>0.08</v>
      </c>
      <c r="F435" s="2">
        <v>0.24</v>
      </c>
      <c r="G435">
        <v>3.6075252680364787E-2</v>
      </c>
      <c r="H435" s="2">
        <v>1.4136221917089988E-2</v>
      </c>
      <c r="I435" s="2">
        <v>0.89719280245719069</v>
      </c>
      <c r="J435" s="2">
        <v>4.5088126793277356E-3</v>
      </c>
      <c r="K435">
        <v>1.4129181084198431E-2</v>
      </c>
      <c r="L435">
        <v>-1.5822784810126594E-2</v>
      </c>
    </row>
    <row r="436" spans="1:12" x14ac:dyDescent="0.25">
      <c r="B436" s="2" t="s">
        <v>153</v>
      </c>
      <c r="C436" s="3">
        <v>45901</v>
      </c>
      <c r="D436" s="2">
        <v>0.59</v>
      </c>
      <c r="E436" s="2">
        <v>0.11</v>
      </c>
      <c r="F436" s="2">
        <v>0.3</v>
      </c>
      <c r="G436">
        <v>-1.4705882352403712E-2</v>
      </c>
      <c r="H436" s="2">
        <v>-1.2772690697367564E-2</v>
      </c>
      <c r="I436" s="2">
        <v>-1.2772757188526529E-2</v>
      </c>
      <c r="J436" s="2">
        <v>-1.278563656147982E-2</v>
      </c>
      <c r="K436">
        <v>-1.2510662496445876E-2</v>
      </c>
      <c r="L436">
        <v>-1.2569424144986921E-2</v>
      </c>
    </row>
    <row r="437" spans="1:12" x14ac:dyDescent="0.25">
      <c r="B437" s="2" t="s">
        <v>153</v>
      </c>
      <c r="C437" s="3">
        <v>45915</v>
      </c>
      <c r="D437" s="2">
        <v>0.69</v>
      </c>
      <c r="E437" s="2">
        <v>0.11</v>
      </c>
      <c r="F437" s="2">
        <v>0.2</v>
      </c>
      <c r="G437">
        <v>-9.9147121533159258E-2</v>
      </c>
      <c r="H437" s="2">
        <v>-8.1401355217493573E-2</v>
      </c>
      <c r="I437" s="2">
        <v>-8.1401695482740954E-2</v>
      </c>
      <c r="J437" s="2">
        <v>-8.1427390465693084E-2</v>
      </c>
      <c r="K437">
        <v>-8.1485747192628827E-2</v>
      </c>
      <c r="L437">
        <v>-8.1409117821195878E-2</v>
      </c>
    </row>
    <row r="438" spans="1:12" x14ac:dyDescent="0.25">
      <c r="B438" s="2" t="s">
        <v>153</v>
      </c>
      <c r="C438" s="3">
        <v>45929</v>
      </c>
      <c r="D438" s="2">
        <v>0.57999999999999996</v>
      </c>
      <c r="E438" s="2">
        <v>0.11</v>
      </c>
      <c r="F438" s="2">
        <v>0.31</v>
      </c>
      <c r="G438">
        <v>-6.5088757425141542E-3</v>
      </c>
      <c r="H438" s="2">
        <v>5.2812378241436512E-3</v>
      </c>
      <c r="I438" s="2">
        <v>5.2818277841609673E-3</v>
      </c>
      <c r="J438" s="2">
        <v>5.2497375131244318E-3</v>
      </c>
      <c r="K438">
        <v>5.3291536050156093E-3</v>
      </c>
      <c r="L438">
        <v>5.1563003544956177E-3</v>
      </c>
    </row>
    <row r="439" spans="1:12" x14ac:dyDescent="0.25">
      <c r="B439" s="2" t="s">
        <v>153</v>
      </c>
      <c r="C439" s="3">
        <v>45943</v>
      </c>
      <c r="D439" s="2">
        <v>0.73</v>
      </c>
      <c r="E439" s="2">
        <v>0.08</v>
      </c>
      <c r="F439" s="2">
        <v>0.19</v>
      </c>
      <c r="G439">
        <v>-6.551518758893175E-3</v>
      </c>
      <c r="H439" s="2">
        <v>-2.6269156885477509E-2</v>
      </c>
      <c r="I439" s="2">
        <v>-2.6269846931304894E-2</v>
      </c>
      <c r="J439" s="2">
        <v>-2.6260817666368338E-2</v>
      </c>
      <c r="K439">
        <v>-2.6504521359526061E-2</v>
      </c>
      <c r="L439">
        <v>-2.6290477717217008E-2</v>
      </c>
    </row>
    <row r="440" spans="1:12" x14ac:dyDescent="0.25">
      <c r="A440" t="s">
        <v>154</v>
      </c>
      <c r="B440" s="2" t="s">
        <v>155</v>
      </c>
      <c r="C440" s="3">
        <v>45873</v>
      </c>
      <c r="D440" s="2">
        <v>0.71</v>
      </c>
      <c r="E440" s="2">
        <v>0.09</v>
      </c>
      <c r="F440" s="2">
        <v>0.2</v>
      </c>
      <c r="G440">
        <v>-1.5384615387669859E-2</v>
      </c>
      <c r="H440" s="2">
        <v>-1.5362137053143826E-2</v>
      </c>
      <c r="I440" s="2">
        <v>-1.536372124607422E-2</v>
      </c>
      <c r="J440" s="2">
        <v>-1.5361744301288499E-2</v>
      </c>
      <c r="K440">
        <v>-1.5362731152204913E-2</v>
      </c>
      <c r="L440">
        <v>-1.5379396132534147E-2</v>
      </c>
    </row>
    <row r="441" spans="1:12" x14ac:dyDescent="0.25">
      <c r="B441" s="2" t="s">
        <v>155</v>
      </c>
      <c r="C441" s="3">
        <v>45887</v>
      </c>
      <c r="D441" s="2">
        <v>0.82</v>
      </c>
      <c r="E441" s="2">
        <v>7.0000000000000007E-2</v>
      </c>
      <c r="F441" s="2">
        <v>0.11</v>
      </c>
      <c r="G441">
        <v>-3.5937499994837689E-2</v>
      </c>
      <c r="H441" s="2">
        <v>-1.5601814262116024E-2</v>
      </c>
      <c r="I441" s="2">
        <v>0.15633289124668434</v>
      </c>
      <c r="J441" s="2">
        <v>-7.423251132360224E-3</v>
      </c>
      <c r="K441">
        <v>-1.5602427044206828E-2</v>
      </c>
      <c r="L441">
        <v>-3.0550132077638757E-2</v>
      </c>
    </row>
    <row r="442" spans="1:12" x14ac:dyDescent="0.25">
      <c r="B442" s="2" t="s">
        <v>155</v>
      </c>
      <c r="C442" s="3">
        <v>45901</v>
      </c>
      <c r="D442" s="2">
        <v>0.65</v>
      </c>
      <c r="E442" s="2">
        <v>0.04</v>
      </c>
      <c r="F442" s="2">
        <v>0.31</v>
      </c>
      <c r="G442">
        <v>-1.1345218799657469E-2</v>
      </c>
      <c r="H442" s="2">
        <v>-3.3276687120926622E-2</v>
      </c>
      <c r="I442" s="2">
        <v>-3.3284587813620127E-2</v>
      </c>
      <c r="J442" s="2">
        <v>-3.3210799847889466E-2</v>
      </c>
      <c r="K442">
        <v>-3.3284414440857044E-2</v>
      </c>
      <c r="L442">
        <v>-3.3289894562255673E-2</v>
      </c>
    </row>
    <row r="443" spans="1:12" x14ac:dyDescent="0.25">
      <c r="B443" s="2" t="s">
        <v>155</v>
      </c>
      <c r="C443" s="3">
        <v>45915</v>
      </c>
      <c r="D443" s="2">
        <v>0.73</v>
      </c>
      <c r="E443" s="2">
        <v>7.0000000000000007E-2</v>
      </c>
      <c r="F443" s="2">
        <v>0.2</v>
      </c>
      <c r="G443">
        <v>-2.1311475409115755E-2</v>
      </c>
      <c r="H443" s="2">
        <v>-9.8412021271119098E-3</v>
      </c>
      <c r="I443" s="2">
        <v>-9.835618226148082E-3</v>
      </c>
      <c r="J443" s="2">
        <v>-9.8334862986758382E-3</v>
      </c>
      <c r="K443">
        <v>-9.8372601408792757E-3</v>
      </c>
      <c r="L443">
        <v>-9.8651960784313757E-3</v>
      </c>
    </row>
    <row r="444" spans="1:12" x14ac:dyDescent="0.25">
      <c r="B444" s="2" t="s">
        <v>155</v>
      </c>
      <c r="C444" s="3">
        <v>45929</v>
      </c>
      <c r="D444" s="2">
        <v>0.75</v>
      </c>
      <c r="E444" s="2">
        <v>0.04</v>
      </c>
      <c r="F444" s="2">
        <v>0.21</v>
      </c>
      <c r="G444">
        <v>-2.1775544396171707E-2</v>
      </c>
      <c r="H444" s="2">
        <v>-2.9802185394552063E-2</v>
      </c>
      <c r="I444" s="2">
        <v>-2.9799955665526293E-2</v>
      </c>
      <c r="J444" s="2">
        <v>-2.9793432203389786E-2</v>
      </c>
      <c r="K444">
        <v>-2.9804979762050765E-2</v>
      </c>
      <c r="L444">
        <v>-2.9766693483507526E-2</v>
      </c>
    </row>
    <row r="445" spans="1:12" x14ac:dyDescent="0.25">
      <c r="B445" s="2" t="s">
        <v>155</v>
      </c>
      <c r="C445" s="3">
        <v>45943</v>
      </c>
      <c r="D445" s="2">
        <v>0.77</v>
      </c>
      <c r="E445" s="2">
        <v>0.06</v>
      </c>
      <c r="F445" s="2">
        <v>0.17</v>
      </c>
      <c r="G445">
        <v>-1.7123287657698253E-3</v>
      </c>
      <c r="H445" s="2">
        <v>-5.1145020634106864E-3</v>
      </c>
      <c r="I445" s="2">
        <v>-5.1192115549681455E-3</v>
      </c>
      <c r="J445" s="2">
        <v>4.9133342432099584E-3</v>
      </c>
      <c r="K445">
        <v>-5.1201011378002505E-3</v>
      </c>
      <c r="L445">
        <v>-5.1664753157290447E-3</v>
      </c>
    </row>
    <row r="446" spans="1:12" x14ac:dyDescent="0.25">
      <c r="A446" t="s">
        <v>156</v>
      </c>
      <c r="B446" s="2" t="s">
        <v>157</v>
      </c>
      <c r="C446" s="3">
        <v>45873</v>
      </c>
      <c r="D446" s="2">
        <v>0.67</v>
      </c>
      <c r="E446" s="2">
        <v>0.13</v>
      </c>
      <c r="F446" s="2">
        <v>0.2</v>
      </c>
      <c r="G446">
        <v>2.4858929388439709E-2</v>
      </c>
      <c r="H446" s="2">
        <v>3.2249732005631089E-2</v>
      </c>
      <c r="I446" s="2">
        <v>3.2255043613207086E-2</v>
      </c>
      <c r="J446" s="2">
        <v>0.11929383084968344</v>
      </c>
      <c r="K446">
        <v>3.2243326153645252E-2</v>
      </c>
      <c r="L446">
        <v>3.2280219780219735E-2</v>
      </c>
    </row>
    <row r="447" spans="1:12" x14ac:dyDescent="0.25">
      <c r="B447" s="2" t="s">
        <v>157</v>
      </c>
      <c r="C447" s="3">
        <v>45887</v>
      </c>
      <c r="D447" s="2">
        <v>0.78</v>
      </c>
      <c r="E447" s="2">
        <v>0.08</v>
      </c>
      <c r="F447" s="2">
        <v>0.14000000000000001</v>
      </c>
      <c r="G447">
        <v>-2.1577380952380921E-2</v>
      </c>
      <c r="H447" s="2">
        <v>1.5477203343175951E-2</v>
      </c>
      <c r="I447" s="2">
        <v>-7.8655762775567392E-2</v>
      </c>
      <c r="J447" s="2">
        <v>-3.1334527698738873E-2</v>
      </c>
      <c r="K447">
        <v>1.5491621877964079E-2</v>
      </c>
      <c r="L447">
        <v>-3.6526946107784397E-2</v>
      </c>
    </row>
    <row r="448" spans="1:12" x14ac:dyDescent="0.25">
      <c r="B448" s="2" t="s">
        <v>157</v>
      </c>
      <c r="C448" s="3">
        <v>45901</v>
      </c>
      <c r="D448" s="2">
        <v>0.65</v>
      </c>
      <c r="E448" s="2">
        <v>0.11</v>
      </c>
      <c r="F448" s="2">
        <v>0.24</v>
      </c>
      <c r="G448">
        <v>-5.4144486692015235E-2</v>
      </c>
      <c r="H448" s="2">
        <v>-6.9602395239092646E-2</v>
      </c>
      <c r="I448" s="2">
        <v>-6.9615979743986547E-2</v>
      </c>
      <c r="J448" s="2">
        <v>-6.9592021758839523E-2</v>
      </c>
      <c r="K448">
        <v>-6.9613947696139544E-2</v>
      </c>
      <c r="L448">
        <v>-6.9608452454940961E-2</v>
      </c>
    </row>
    <row r="449" spans="1:12" x14ac:dyDescent="0.25">
      <c r="B449" s="2" t="s">
        <v>157</v>
      </c>
      <c r="C449" s="3">
        <v>45915</v>
      </c>
      <c r="D449" s="2">
        <v>0.67</v>
      </c>
      <c r="E449" s="2">
        <v>0.15</v>
      </c>
      <c r="F449" s="2">
        <v>0.18</v>
      </c>
      <c r="G449">
        <v>-7.7182826821032358E-3</v>
      </c>
      <c r="H449" s="2">
        <v>-4.91445068333509E-2</v>
      </c>
      <c r="I449" s="2">
        <v>-4.9137448783659048E-2</v>
      </c>
      <c r="J449" s="2">
        <v>-4.9150296227003475E-2</v>
      </c>
      <c r="K449">
        <v>-4.9190202114843998E-2</v>
      </c>
      <c r="L449">
        <v>-4.9135307652341753E-2</v>
      </c>
    </row>
    <row r="450" spans="1:12" x14ac:dyDescent="0.25">
      <c r="B450" s="2" t="s">
        <v>157</v>
      </c>
      <c r="C450" s="3">
        <v>45929</v>
      </c>
      <c r="D450" s="2">
        <v>0.61</v>
      </c>
      <c r="E450" s="2">
        <v>0.18</v>
      </c>
      <c r="F450" s="2">
        <v>0.21</v>
      </c>
      <c r="G450">
        <v>7.616269648355262E-3</v>
      </c>
      <c r="H450" s="2">
        <v>3.8592777259369632E-2</v>
      </c>
      <c r="I450" s="2">
        <v>3.8590577348110104E-2</v>
      </c>
      <c r="J450" s="2">
        <v>3.8614470178315347E-2</v>
      </c>
      <c r="K450">
        <v>3.8642922502991443E-2</v>
      </c>
      <c r="L450">
        <v>3.8560611974084863E-2</v>
      </c>
    </row>
    <row r="451" spans="1:12" x14ac:dyDescent="0.25">
      <c r="B451" s="2" t="s">
        <v>157</v>
      </c>
      <c r="C451" s="3">
        <v>45943</v>
      </c>
      <c r="D451" s="2">
        <v>0.82</v>
      </c>
      <c r="E451" s="2">
        <v>0.05</v>
      </c>
      <c r="F451" s="2">
        <v>0.13</v>
      </c>
      <c r="G451">
        <v>0.10614345448697335</v>
      </c>
      <c r="H451" s="2">
        <v>9.6980099769350459E-2</v>
      </c>
      <c r="I451" s="2">
        <v>9.6971738265103039E-2</v>
      </c>
      <c r="J451" s="2">
        <v>9.6933338595729585E-2</v>
      </c>
      <c r="K451">
        <v>9.697750067769044E-2</v>
      </c>
      <c r="L451">
        <v>9.7031191281473125E-2</v>
      </c>
    </row>
    <row r="452" spans="1:12" x14ac:dyDescent="0.25">
      <c r="A452" t="s">
        <v>158</v>
      </c>
      <c r="B452" s="2" t="s">
        <v>159</v>
      </c>
      <c r="C452" s="3">
        <v>45873</v>
      </c>
      <c r="D452" s="2">
        <v>0.59</v>
      </c>
      <c r="E452" s="2">
        <v>0.14000000000000001</v>
      </c>
      <c r="F452" s="2">
        <v>0.27</v>
      </c>
      <c r="G452">
        <v>7.8947368422302461E-2</v>
      </c>
      <c r="H452" s="2">
        <v>0.10031446540880516</v>
      </c>
      <c r="I452" s="2">
        <v>0.10030848253162311</v>
      </c>
      <c r="J452" s="2">
        <v>0.10031912282137308</v>
      </c>
      <c r="K452">
        <v>0.10031063939943058</v>
      </c>
      <c r="L452">
        <v>0.10029871093201824</v>
      </c>
    </row>
    <row r="453" spans="1:12" x14ac:dyDescent="0.25">
      <c r="B453" s="2" t="s">
        <v>159</v>
      </c>
      <c r="C453" s="3">
        <v>45887</v>
      </c>
      <c r="D453" s="2">
        <v>0.59</v>
      </c>
      <c r="E453" s="2">
        <v>0.15</v>
      </c>
      <c r="F453" s="2">
        <v>0.26</v>
      </c>
      <c r="G453">
        <v>3.6346245813138008E-2</v>
      </c>
      <c r="H453" s="2">
        <v>2.8192578832047118E-2</v>
      </c>
      <c r="I453" s="2">
        <v>2.8196976404147773E-2</v>
      </c>
      <c r="J453" s="2">
        <v>2.8184725217520669E-2</v>
      </c>
      <c r="K453">
        <v>2.8198363217772651E-2</v>
      </c>
      <c r="L453">
        <v>2.8204941330806758E-2</v>
      </c>
    </row>
    <row r="454" spans="1:12" x14ac:dyDescent="0.25">
      <c r="B454" s="2" t="s">
        <v>159</v>
      </c>
      <c r="C454" s="3">
        <v>45901</v>
      </c>
      <c r="D454" s="2">
        <v>0.55000000000000004</v>
      </c>
      <c r="E454" s="2">
        <v>0.1</v>
      </c>
      <c r="F454" s="2">
        <v>0.35</v>
      </c>
      <c r="G454">
        <v>-2.03045685228679E-2</v>
      </c>
      <c r="H454" s="2">
        <v>-3.7472421201364216E-2</v>
      </c>
      <c r="I454" s="2">
        <v>-0.11029498101736494</v>
      </c>
      <c r="J454" s="2">
        <v>-6.8277158975842647E-2</v>
      </c>
      <c r="K454">
        <v>-3.7476505679496654E-2</v>
      </c>
      <c r="L454">
        <v>-7.8997731783385344E-2</v>
      </c>
    </row>
    <row r="455" spans="1:12" x14ac:dyDescent="0.25">
      <c r="B455" s="2" t="s">
        <v>159</v>
      </c>
      <c r="C455" s="3">
        <v>45915</v>
      </c>
      <c r="D455" s="2">
        <v>0.54</v>
      </c>
      <c r="E455" s="2">
        <v>0.08</v>
      </c>
      <c r="F455" s="2">
        <v>0.38</v>
      </c>
      <c r="G455">
        <v>8.1017428161753932E-2</v>
      </c>
      <c r="H455" s="2">
        <v>-9.4996871540646791E-3</v>
      </c>
      <c r="I455" s="2">
        <v>-9.4948309993401411E-3</v>
      </c>
      <c r="J455" s="2">
        <v>-9.5482068001862888E-3</v>
      </c>
      <c r="K455">
        <v>-9.4919513686068397E-3</v>
      </c>
      <c r="L455">
        <v>-9.4855119867625504E-3</v>
      </c>
    </row>
    <row r="456" spans="1:12" x14ac:dyDescent="0.25">
      <c r="B456" s="2" t="s">
        <v>159</v>
      </c>
      <c r="C456" s="3">
        <v>45929</v>
      </c>
      <c r="D456" s="2">
        <v>0.69</v>
      </c>
      <c r="E456" s="2">
        <v>0.11</v>
      </c>
      <c r="F456" s="2">
        <v>0.2</v>
      </c>
      <c r="G456">
        <v>1.2200435735149404E-2</v>
      </c>
      <c r="H456" s="2">
        <v>0.15292431227488362</v>
      </c>
      <c r="I456" s="2">
        <v>0.15292201783929835</v>
      </c>
      <c r="J456" s="2">
        <v>0.15291167019358887</v>
      </c>
      <c r="K456">
        <v>0.15291515951519713</v>
      </c>
      <c r="L456">
        <v>0.15293020726093107</v>
      </c>
    </row>
    <row r="457" spans="1:12" x14ac:dyDescent="0.25">
      <c r="B457" s="2" t="s">
        <v>159</v>
      </c>
      <c r="C457" s="3">
        <v>45943</v>
      </c>
      <c r="D457" s="2">
        <v>0.54</v>
      </c>
      <c r="E457" s="2">
        <v>0.13</v>
      </c>
      <c r="F457" s="2">
        <v>0.33</v>
      </c>
      <c r="G457">
        <v>-1.1622901420715731E-2</v>
      </c>
      <c r="H457" s="2">
        <v>-4.5323316509846598E-2</v>
      </c>
      <c r="I457" s="2">
        <v>-4.5321468469509595E-2</v>
      </c>
      <c r="J457" s="2">
        <v>-3.9428959891230485E-2</v>
      </c>
      <c r="K457">
        <v>-4.5321398301934511E-2</v>
      </c>
      <c r="L457">
        <v>-4.5321292583482033E-2</v>
      </c>
    </row>
    <row r="458" spans="1:12" x14ac:dyDescent="0.25">
      <c r="A458" t="s">
        <v>160</v>
      </c>
      <c r="B458" s="2" t="s">
        <v>161</v>
      </c>
      <c r="C458" s="3">
        <v>45873</v>
      </c>
      <c r="D458" s="2">
        <v>0.39</v>
      </c>
      <c r="E458" s="2">
        <v>0.11</v>
      </c>
      <c r="F458" s="2">
        <v>0.5</v>
      </c>
      <c r="G458">
        <v>-3.3939393939568144E-2</v>
      </c>
      <c r="H458" s="2">
        <v>-1.5874926644296336E-2</v>
      </c>
      <c r="I458" s="2">
        <v>-1.5873015873015938E-2</v>
      </c>
      <c r="J458" s="2">
        <v>-1.5986601705237614E-2</v>
      </c>
      <c r="K458">
        <v>-1.5845483099714158E-2</v>
      </c>
      <c r="L458">
        <v>-1.5882598801839141E-2</v>
      </c>
    </row>
    <row r="459" spans="1:12" x14ac:dyDescent="0.25">
      <c r="B459" s="2" t="s">
        <v>161</v>
      </c>
      <c r="C459" s="3">
        <v>45887</v>
      </c>
      <c r="D459" s="2">
        <v>0.53</v>
      </c>
      <c r="E459" s="2">
        <v>0.13</v>
      </c>
      <c r="F459" s="2">
        <v>0.34</v>
      </c>
      <c r="G459">
        <v>-2.3839397741174197E-2</v>
      </c>
      <c r="H459" s="2">
        <v>-1.9846487874988453E-2</v>
      </c>
      <c r="I459" s="2">
        <v>-2.9293394777265693E-2</v>
      </c>
      <c r="J459" s="2">
        <v>-2.8005570168652336E-2</v>
      </c>
      <c r="K459">
        <v>-1.986376411184684E-2</v>
      </c>
      <c r="L459">
        <v>-1.4015383889387032E-2</v>
      </c>
    </row>
    <row r="460" spans="1:12" x14ac:dyDescent="0.25">
      <c r="B460" s="2" t="s">
        <v>161</v>
      </c>
      <c r="C460" s="3">
        <v>45901</v>
      </c>
      <c r="D460" s="2">
        <v>0.46</v>
      </c>
      <c r="E460" s="2">
        <v>0.2</v>
      </c>
      <c r="F460" s="2">
        <v>0.34</v>
      </c>
      <c r="G460">
        <v>-3.856041131289479E-3</v>
      </c>
      <c r="H460" s="2">
        <v>-1.1403344565081767E-2</v>
      </c>
      <c r="I460" s="2">
        <v>-1.1393667020081348E-2</v>
      </c>
      <c r="J460" s="2">
        <v>-1.1461318051575907E-2</v>
      </c>
      <c r="K460">
        <v>-1.137247278382586E-2</v>
      </c>
      <c r="L460">
        <v>-1.1390829903321549E-2</v>
      </c>
    </row>
    <row r="461" spans="1:12" x14ac:dyDescent="0.25">
      <c r="B461" s="2" t="s">
        <v>161</v>
      </c>
      <c r="C461" s="3">
        <v>45915</v>
      </c>
      <c r="D461" s="2">
        <v>0.63</v>
      </c>
      <c r="E461" s="2">
        <v>0.14000000000000001</v>
      </c>
      <c r="F461" s="2">
        <v>0.23</v>
      </c>
      <c r="G461">
        <v>-5.8064516129496181E-2</v>
      </c>
      <c r="H461" s="2">
        <v>-5.2498698183769114E-2</v>
      </c>
      <c r="I461" s="2">
        <v>-5.2486674243273038E-2</v>
      </c>
      <c r="J461" s="2">
        <v>-5.249597423510461E-2</v>
      </c>
      <c r="K461">
        <v>-5.2502212171861073E-2</v>
      </c>
      <c r="L461">
        <v>-5.2478698683191244E-2</v>
      </c>
    </row>
    <row r="462" spans="1:12" x14ac:dyDescent="0.25">
      <c r="B462" s="2" t="s">
        <v>161</v>
      </c>
      <c r="C462" s="3">
        <v>45929</v>
      </c>
      <c r="D462" s="2">
        <v>0.53</v>
      </c>
      <c r="E462" s="2">
        <v>0.18</v>
      </c>
      <c r="F462" s="2">
        <v>0.28999999999999998</v>
      </c>
      <c r="G462">
        <v>1.3698630145856832E-3</v>
      </c>
      <c r="H462" s="2">
        <v>-1.8918828897844974E-2</v>
      </c>
      <c r="I462" s="2">
        <v>-1.8920836571274132E-2</v>
      </c>
      <c r="J462" s="2">
        <v>-1.8864717878993877E-2</v>
      </c>
      <c r="K462">
        <v>-1.8937428660371472E-2</v>
      </c>
      <c r="L462">
        <v>-1.8904557531167047E-2</v>
      </c>
    </row>
    <row r="463" spans="1:12" x14ac:dyDescent="0.25">
      <c r="B463" s="2" t="s">
        <v>161</v>
      </c>
      <c r="C463" s="3">
        <v>45943</v>
      </c>
      <c r="D463" s="2">
        <v>0.64</v>
      </c>
      <c r="E463" s="2">
        <v>0.14000000000000001</v>
      </c>
      <c r="F463" s="2">
        <v>0.22</v>
      </c>
      <c r="G463">
        <v>8.6183310532695082E-2</v>
      </c>
      <c r="H463" s="2">
        <v>9.3668307587845875E-2</v>
      </c>
      <c r="I463" s="2">
        <v>9.3656369459654887E-2</v>
      </c>
      <c r="J463" s="2">
        <v>9.3712108089381477E-2</v>
      </c>
      <c r="K463">
        <v>9.365910413030834E-2</v>
      </c>
      <c r="L463">
        <v>9.363607957504437E-2</v>
      </c>
    </row>
    <row r="464" spans="1:12" x14ac:dyDescent="0.25">
      <c r="A464" t="s">
        <v>162</v>
      </c>
      <c r="B464" s="2" t="s">
        <v>163</v>
      </c>
      <c r="C464" s="3">
        <v>45873</v>
      </c>
      <c r="D464" s="2">
        <v>0.72</v>
      </c>
      <c r="E464" s="2">
        <v>0.06</v>
      </c>
      <c r="F464" s="2">
        <v>0.22</v>
      </c>
      <c r="G464">
        <v>9.5566348115900326E-3</v>
      </c>
      <c r="H464" s="2">
        <v>1.1676184268326496E-3</v>
      </c>
      <c r="I464" s="2">
        <v>1.1695184608026318E-3</v>
      </c>
      <c r="J464" s="2">
        <v>1.1602119183539684E-3</v>
      </c>
      <c r="K464">
        <v>1.1763077774702704E-3</v>
      </c>
      <c r="L464">
        <v>1.1162179908076396E-3</v>
      </c>
    </row>
    <row r="465" spans="1:12" x14ac:dyDescent="0.25">
      <c r="B465" s="2" t="s">
        <v>163</v>
      </c>
      <c r="C465" s="3">
        <v>45887</v>
      </c>
      <c r="D465" s="2">
        <v>0.69</v>
      </c>
      <c r="E465" s="2">
        <v>0.1</v>
      </c>
      <c r="F465" s="2">
        <v>0.21</v>
      </c>
      <c r="G465">
        <v>0.11646492861625457</v>
      </c>
      <c r="H465" s="2">
        <v>6.4619678600038907E-2</v>
      </c>
      <c r="I465" s="2">
        <v>6.4618239203067362E-2</v>
      </c>
      <c r="J465" s="2">
        <v>6.4619676132459627E-2</v>
      </c>
      <c r="K465">
        <v>6.4620913677517391E-2</v>
      </c>
      <c r="L465">
        <v>6.4668459369056228E-2</v>
      </c>
    </row>
    <row r="466" spans="1:12" x14ac:dyDescent="0.25">
      <c r="B466" s="2" t="s">
        <v>163</v>
      </c>
      <c r="C466" s="3">
        <v>45901</v>
      </c>
      <c r="D466" s="2">
        <v>0.69</v>
      </c>
      <c r="E466" s="2">
        <v>0.12</v>
      </c>
      <c r="F466" s="2">
        <v>0.19</v>
      </c>
      <c r="G466">
        <v>-9.6601570663625413E-3</v>
      </c>
      <c r="H466" s="2">
        <v>1.0154349300043917E-2</v>
      </c>
      <c r="I466" s="2">
        <v>-9.9467587700378404E-2</v>
      </c>
      <c r="J466" s="2">
        <v>-0.18686061073114343</v>
      </c>
      <c r="K466">
        <v>1.012723967800575E-2</v>
      </c>
      <c r="L466">
        <v>-2.36555165403807E-2</v>
      </c>
    </row>
    <row r="467" spans="1:12" x14ac:dyDescent="0.25">
      <c r="B467" s="2" t="s">
        <v>163</v>
      </c>
      <c r="C467" s="3">
        <v>45915</v>
      </c>
      <c r="D467" s="2">
        <v>0.74</v>
      </c>
      <c r="E467" s="2">
        <v>0.08</v>
      </c>
      <c r="F467" s="2">
        <v>0.18</v>
      </c>
      <c r="G467">
        <v>0.1171228070160832</v>
      </c>
      <c r="H467" s="2">
        <v>0.13680201308717233</v>
      </c>
      <c r="I467" s="2">
        <v>0.13680349266360614</v>
      </c>
      <c r="J467" s="2">
        <v>0.13679334691749989</v>
      </c>
      <c r="K467">
        <v>0.13682519280205646</v>
      </c>
      <c r="L467">
        <v>0.13679096472963601</v>
      </c>
    </row>
    <row r="468" spans="1:12" x14ac:dyDescent="0.25">
      <c r="B468" s="2" t="s">
        <v>163</v>
      </c>
      <c r="C468" s="3">
        <v>45929</v>
      </c>
      <c r="D468" s="2">
        <v>0.65</v>
      </c>
      <c r="E468" s="2">
        <v>7.0000000000000007E-2</v>
      </c>
      <c r="F468" s="2">
        <v>0.28000000000000003</v>
      </c>
      <c r="G468">
        <v>1.4510961745154639E-2</v>
      </c>
      <c r="H468" s="2">
        <v>6.6468775397268254E-2</v>
      </c>
      <c r="I468" s="2">
        <v>6.6466820322110751E-2</v>
      </c>
      <c r="J468" s="2">
        <v>6.6476307589699773E-2</v>
      </c>
      <c r="K468">
        <v>6.6425462151619749E-2</v>
      </c>
      <c r="L468">
        <v>6.6437253704834276E-2</v>
      </c>
    </row>
    <row r="469" spans="1:12" x14ac:dyDescent="0.25">
      <c r="B469" s="2" t="s">
        <v>163</v>
      </c>
      <c r="C469" s="3">
        <v>45943</v>
      </c>
      <c r="D469" s="2">
        <v>0.68</v>
      </c>
      <c r="E469" s="2">
        <v>0.09</v>
      </c>
      <c r="F469" s="2">
        <v>0.23</v>
      </c>
      <c r="G469">
        <v>-9.2260061914196893E-3</v>
      </c>
      <c r="H469" s="2">
        <v>-4.5686656795355454E-2</v>
      </c>
      <c r="I469" s="2">
        <v>-4.5684525387952507E-2</v>
      </c>
      <c r="J469" s="2">
        <v>-4.5691727413082223E-2</v>
      </c>
      <c r="K469">
        <v>-4.5642493638676875E-2</v>
      </c>
      <c r="L469">
        <v>-4.5695846778390808E-2</v>
      </c>
    </row>
    <row r="470" spans="1:12" x14ac:dyDescent="0.25">
      <c r="A470" t="s">
        <v>164</v>
      </c>
      <c r="B470" s="2" t="s">
        <v>165</v>
      </c>
      <c r="C470" s="3">
        <v>45873</v>
      </c>
      <c r="D470" s="2">
        <v>0.88</v>
      </c>
      <c r="E470" s="2">
        <v>0.01</v>
      </c>
      <c r="F470" s="2">
        <v>0.11</v>
      </c>
      <c r="G470">
        <v>5.0185873606556769E-2</v>
      </c>
      <c r="H470" s="2">
        <v>6.1999759282662333E-2</v>
      </c>
      <c r="I470" s="2">
        <v>6.2003710679290176E-2</v>
      </c>
      <c r="J470" s="2">
        <v>6.1915946229573679E-2</v>
      </c>
      <c r="K470">
        <v>6.2006935413957576E-2</v>
      </c>
      <c r="L470">
        <v>6.2004209163024022E-2</v>
      </c>
    </row>
    <row r="471" spans="1:12" x14ac:dyDescent="0.25">
      <c r="B471" s="2" t="s">
        <v>165</v>
      </c>
      <c r="C471" s="3">
        <v>45887</v>
      </c>
      <c r="D471" s="2">
        <v>0.88</v>
      </c>
      <c r="E471" s="2">
        <v>0.01</v>
      </c>
      <c r="F471" s="2">
        <v>0.11</v>
      </c>
      <c r="G471">
        <v>0.11948840677901799</v>
      </c>
      <c r="H471" s="2">
        <v>0.11421751264361299</v>
      </c>
      <c r="I471" s="2">
        <v>4.0747015400717269E-2</v>
      </c>
      <c r="J471" s="2">
        <v>4.9113725490196138E-2</v>
      </c>
      <c r="K471">
        <v>0.11422215873145453</v>
      </c>
      <c r="L471">
        <v>6.4634146341463458E-2</v>
      </c>
    </row>
    <row r="472" spans="1:12" x14ac:dyDescent="0.25">
      <c r="B472" s="2" t="s">
        <v>165</v>
      </c>
      <c r="C472" s="3">
        <v>45901</v>
      </c>
      <c r="D472" s="2">
        <v>0.8</v>
      </c>
      <c r="E472" s="2">
        <v>7.0000000000000007E-2</v>
      </c>
      <c r="F472" s="2">
        <v>0.13</v>
      </c>
      <c r="G472">
        <v>5.6659653178199869E-2</v>
      </c>
      <c r="H472" s="2">
        <v>6.2643433373807289E-2</v>
      </c>
      <c r="I472" s="2">
        <v>6.2644752346511706E-2</v>
      </c>
      <c r="J472" s="2">
        <v>6.0166564495147977E-2</v>
      </c>
      <c r="K472">
        <v>6.2639657130297746E-2</v>
      </c>
      <c r="L472">
        <v>6.2653411880216059E-2</v>
      </c>
    </row>
    <row r="473" spans="1:12" x14ac:dyDescent="0.25">
      <c r="B473" s="2" t="s">
        <v>165</v>
      </c>
      <c r="C473" s="3">
        <v>45915</v>
      </c>
      <c r="D473" s="2">
        <v>0.69</v>
      </c>
      <c r="E473" s="2">
        <v>7.0000000000000007E-2</v>
      </c>
      <c r="F473" s="2">
        <v>0.24</v>
      </c>
      <c r="G473">
        <v>4.1549970224451671E-2</v>
      </c>
      <c r="H473" s="2">
        <v>2.4328425771380575E-2</v>
      </c>
      <c r="I473" s="2">
        <v>2.4325835715173293E-2</v>
      </c>
      <c r="J473" s="2">
        <v>1.9110076863408845E-2</v>
      </c>
      <c r="K473">
        <v>2.4337274638905088E-2</v>
      </c>
      <c r="L473">
        <v>2.4330619237358336E-2</v>
      </c>
    </row>
    <row r="474" spans="1:12" x14ac:dyDescent="0.25">
      <c r="B474" s="2" t="s">
        <v>165</v>
      </c>
      <c r="C474" s="3">
        <v>45929</v>
      </c>
      <c r="D474" s="2">
        <v>0.91</v>
      </c>
      <c r="E474" s="2">
        <v>0.03</v>
      </c>
      <c r="F474" s="2">
        <v>0.06</v>
      </c>
      <c r="G474">
        <v>-2.2661870505220297E-2</v>
      </c>
      <c r="H474" s="2">
        <v>3.4216453722324146E-2</v>
      </c>
      <c r="I474" s="2">
        <v>3.4216549275237207E-2</v>
      </c>
      <c r="J474" s="2">
        <v>3.420979795184062E-2</v>
      </c>
      <c r="K474">
        <v>3.4208312300185173E-2</v>
      </c>
      <c r="L474">
        <v>3.4219674903692425E-2</v>
      </c>
    </row>
    <row r="475" spans="1:12" x14ac:dyDescent="0.25">
      <c r="B475" s="2" t="s">
        <v>165</v>
      </c>
      <c r="C475" s="3">
        <v>45943</v>
      </c>
      <c r="D475" s="2">
        <v>0.84</v>
      </c>
      <c r="E475" s="2">
        <v>0.06</v>
      </c>
      <c r="F475" s="2">
        <v>0.1</v>
      </c>
      <c r="G475">
        <v>-3.5918407679514618E-2</v>
      </c>
      <c r="H475" s="2">
        <v>-6.8158502542131988E-2</v>
      </c>
      <c r="I475" s="2">
        <v>-7.713703701197179E-2</v>
      </c>
      <c r="J475" s="2">
        <v>-0.17422255526414393</v>
      </c>
      <c r="K475">
        <v>-6.8154824853977156E-2</v>
      </c>
      <c r="L475">
        <v>-0.10989170724616615</v>
      </c>
    </row>
    <row r="476" spans="1:12" x14ac:dyDescent="0.25">
      <c r="A476" t="s">
        <v>166</v>
      </c>
      <c r="B476" s="2" t="s">
        <v>167</v>
      </c>
      <c r="C476" s="3">
        <v>45873</v>
      </c>
      <c r="D476" s="2">
        <v>0.9</v>
      </c>
      <c r="E476" s="2">
        <v>0.03</v>
      </c>
      <c r="F476" s="2">
        <v>7.0000000000000007E-2</v>
      </c>
      <c r="G476">
        <v>0.32406504065215208</v>
      </c>
      <c r="H476" s="2">
        <v>0.27348221387021798</v>
      </c>
      <c r="I476" s="2">
        <v>0.27348047690684152</v>
      </c>
      <c r="J476" s="2">
        <v>0.27348129171584784</v>
      </c>
      <c r="K476">
        <v>0.27348108303317725</v>
      </c>
      <c r="L476">
        <v>0.27348207008964964</v>
      </c>
    </row>
    <row r="477" spans="1:12" x14ac:dyDescent="0.25">
      <c r="B477" s="2" t="s">
        <v>167</v>
      </c>
      <c r="C477" s="3">
        <v>45887</v>
      </c>
      <c r="D477" s="2">
        <v>0.84</v>
      </c>
      <c r="E477" s="2">
        <v>0.06</v>
      </c>
      <c r="F477" s="2">
        <v>0.1</v>
      </c>
      <c r="G477">
        <v>0.59032297678778445</v>
      </c>
      <c r="H477" s="2">
        <v>0.5274438369081369</v>
      </c>
      <c r="I477" s="2">
        <v>5.5091066170636686E-2</v>
      </c>
      <c r="J477" s="2">
        <v>0.21420229015565581</v>
      </c>
      <c r="K477">
        <v>0.52744599793282809</v>
      </c>
      <c r="L477">
        <v>8.1986720531178614E-2</v>
      </c>
    </row>
    <row r="478" spans="1:12" x14ac:dyDescent="0.25">
      <c r="B478" s="2" t="s">
        <v>167</v>
      </c>
      <c r="C478" s="3">
        <v>45901</v>
      </c>
      <c r="D478" s="2">
        <v>0.77</v>
      </c>
      <c r="E478" s="2">
        <v>0.09</v>
      </c>
      <c r="F478" s="2">
        <v>0.14000000000000001</v>
      </c>
      <c r="G478">
        <v>-9.8093285285919304E-2</v>
      </c>
      <c r="H478" s="2">
        <v>5.256942378876632E-3</v>
      </c>
      <c r="I478" s="2">
        <v>5.2588834523141425E-3</v>
      </c>
      <c r="J478" s="2">
        <v>4.9121798097428726E-3</v>
      </c>
      <c r="K478">
        <v>5.257063568451654E-3</v>
      </c>
      <c r="L478">
        <v>5.2586342338013384E-3</v>
      </c>
    </row>
    <row r="479" spans="1:12" x14ac:dyDescent="0.25">
      <c r="B479" s="2" t="s">
        <v>167</v>
      </c>
      <c r="C479" s="3">
        <v>45915</v>
      </c>
      <c r="D479" s="2">
        <v>0.82</v>
      </c>
      <c r="E479" s="2">
        <v>0.06</v>
      </c>
      <c r="F479" s="2">
        <v>0.12</v>
      </c>
      <c r="G479">
        <v>0.1084213531258824</v>
      </c>
      <c r="H479" s="2">
        <v>4.4751407653166993E-2</v>
      </c>
      <c r="I479" s="2">
        <v>4.4750092675247648E-2</v>
      </c>
      <c r="J479" s="2">
        <v>4.4753138987484946E-2</v>
      </c>
      <c r="K479">
        <v>4.4750258805461005E-2</v>
      </c>
      <c r="L479">
        <v>4.4749567903504643E-2</v>
      </c>
    </row>
    <row r="480" spans="1:12" x14ac:dyDescent="0.25">
      <c r="B480" s="2" t="s">
        <v>167</v>
      </c>
      <c r="C480" s="3">
        <v>45929</v>
      </c>
      <c r="D480" s="2">
        <v>0.65</v>
      </c>
      <c r="E480" s="2">
        <v>0.09</v>
      </c>
      <c r="F480" s="2">
        <v>0.26</v>
      </c>
      <c r="G480">
        <v>-0.10219429277994899</v>
      </c>
      <c r="H480" s="2">
        <v>-7.43313597542542E-2</v>
      </c>
      <c r="I480" s="2">
        <v>-7.4331366162648876E-2</v>
      </c>
      <c r="J480" s="2">
        <v>-7.4332255203714379E-2</v>
      </c>
      <c r="K480">
        <v>-7.4329935034576092E-2</v>
      </c>
      <c r="L480">
        <v>-7.4331548449262916E-2</v>
      </c>
    </row>
    <row r="481" spans="1:12" x14ac:dyDescent="0.25">
      <c r="B481" s="2" t="s">
        <v>167</v>
      </c>
      <c r="C481" s="3">
        <v>45943</v>
      </c>
      <c r="D481" s="2">
        <v>0.82</v>
      </c>
      <c r="E481" s="2">
        <v>0.1</v>
      </c>
      <c r="F481" s="2">
        <v>0.08</v>
      </c>
      <c r="G481">
        <v>6.9908204244901295E-2</v>
      </c>
      <c r="H481" s="2">
        <v>7.7324756721095192E-2</v>
      </c>
      <c r="I481" s="2">
        <v>7.7324770913441296E-2</v>
      </c>
      <c r="J481" s="2">
        <v>7.7324889223898033E-2</v>
      </c>
      <c r="K481">
        <v>7.7323382709534691E-2</v>
      </c>
      <c r="L481">
        <v>7.7329657532618903E-2</v>
      </c>
    </row>
    <row r="482" spans="1:12" x14ac:dyDescent="0.25">
      <c r="A482" t="s">
        <v>168</v>
      </c>
      <c r="B482" s="2" t="s">
        <v>169</v>
      </c>
      <c r="C482" s="3">
        <v>45873</v>
      </c>
      <c r="D482" s="2">
        <v>0.81</v>
      </c>
      <c r="E482" s="2">
        <v>0.04</v>
      </c>
      <c r="F482" s="2">
        <v>0.15</v>
      </c>
      <c r="G482">
        <v>4.0750503006401671E-2</v>
      </c>
      <c r="H482" s="2">
        <v>5.5287345082988965E-2</v>
      </c>
      <c r="I482" s="2">
        <v>5.5285489031228166E-2</v>
      </c>
      <c r="J482" s="2">
        <v>5.5310935520839689E-2</v>
      </c>
      <c r="K482">
        <v>5.5300403036835637E-2</v>
      </c>
      <c r="L482">
        <v>5.5351976856316418E-2</v>
      </c>
    </row>
    <row r="483" spans="1:12" x14ac:dyDescent="0.25">
      <c r="B483" s="2" t="s">
        <v>169</v>
      </c>
      <c r="C483" s="3">
        <v>45887</v>
      </c>
      <c r="D483" s="2">
        <v>0.72</v>
      </c>
      <c r="E483" s="2">
        <v>0.03</v>
      </c>
      <c r="F483" s="2">
        <v>0.25</v>
      </c>
      <c r="G483">
        <v>0.14071510957276581</v>
      </c>
      <c r="H483" s="2">
        <v>8.8769595154126427E-2</v>
      </c>
      <c r="I483" s="2">
        <v>8.8770126415901429E-2</v>
      </c>
      <c r="J483" s="2">
        <v>8.8763145861911294E-2</v>
      </c>
      <c r="K483">
        <v>8.8729016786570844E-2</v>
      </c>
      <c r="L483">
        <v>8.8724415204678331E-2</v>
      </c>
    </row>
    <row r="484" spans="1:12" x14ac:dyDescent="0.25">
      <c r="B484" s="2" t="s">
        <v>169</v>
      </c>
      <c r="C484" s="3">
        <v>45901</v>
      </c>
      <c r="D484" s="2">
        <v>0.76</v>
      </c>
      <c r="E484" s="2">
        <v>0.01</v>
      </c>
      <c r="F484" s="2">
        <v>0.23</v>
      </c>
      <c r="G484">
        <v>-1.3144590498372783E-2</v>
      </c>
      <c r="H484" s="2">
        <v>1.4648001191413188E-2</v>
      </c>
      <c r="I484" s="2">
        <v>-2.0664992511858583E-2</v>
      </c>
      <c r="J484" s="2">
        <v>2.5250669326473848E-2</v>
      </c>
      <c r="K484">
        <v>1.468428781204113E-2</v>
      </c>
      <c r="L484">
        <v>-1.1917750734368435E-2</v>
      </c>
    </row>
    <row r="485" spans="1:12" x14ac:dyDescent="0.25">
      <c r="B485" s="2" t="s">
        <v>169</v>
      </c>
      <c r="C485" s="3">
        <v>45915</v>
      </c>
      <c r="D485" s="2">
        <v>0.77</v>
      </c>
      <c r="E485" s="2">
        <v>0.02</v>
      </c>
      <c r="F485" s="2">
        <v>0.21</v>
      </c>
      <c r="G485">
        <v>0.12704918033101292</v>
      </c>
      <c r="H485" s="2">
        <v>8.2472767683968828E-2</v>
      </c>
      <c r="I485" s="2">
        <v>8.247374725261937E-2</v>
      </c>
      <c r="J485" s="2">
        <v>8.2488479262672817E-2</v>
      </c>
      <c r="K485">
        <v>8.2489146164978308E-2</v>
      </c>
      <c r="L485">
        <v>8.2476853818058235E-2</v>
      </c>
    </row>
    <row r="486" spans="1:12" x14ac:dyDescent="0.25">
      <c r="B486" s="2" t="s">
        <v>169</v>
      </c>
      <c r="C486" s="3">
        <v>45929</v>
      </c>
      <c r="D486" s="2">
        <v>0.88</v>
      </c>
      <c r="E486" s="2">
        <v>0.02</v>
      </c>
      <c r="F486" s="2">
        <v>0.1</v>
      </c>
      <c r="G486">
        <v>3.3636363633733686E-2</v>
      </c>
      <c r="H486" s="2">
        <v>6.5714603944813432E-2</v>
      </c>
      <c r="I486" s="2">
        <v>6.5715544191742942E-2</v>
      </c>
      <c r="J486" s="2">
        <v>6.5701717042713215E-2</v>
      </c>
      <c r="K486">
        <v>6.5656565656565677E-2</v>
      </c>
      <c r="L486">
        <v>6.5677966101695004E-2</v>
      </c>
    </row>
    <row r="487" spans="1:12" x14ac:dyDescent="0.25">
      <c r="B487" s="2" t="s">
        <v>169</v>
      </c>
      <c r="C487" s="3">
        <v>45943</v>
      </c>
      <c r="D487" s="2">
        <v>0.86</v>
      </c>
      <c r="E487" s="2">
        <v>0.05</v>
      </c>
      <c r="F487" s="2">
        <v>0.09</v>
      </c>
      <c r="G487">
        <v>0</v>
      </c>
      <c r="H487" s="2">
        <v>1.6085863979024725E-2</v>
      </c>
      <c r="I487" s="2">
        <v>1.608366935483865E-2</v>
      </c>
      <c r="J487" s="2">
        <v>1.6067465601420333E-2</v>
      </c>
      <c r="K487">
        <v>1.6099804850850222E-2</v>
      </c>
      <c r="L487">
        <v>1.6125469405787355E-2</v>
      </c>
    </row>
    <row r="488" spans="1:12" x14ac:dyDescent="0.25">
      <c r="A488" t="s">
        <v>170</v>
      </c>
      <c r="B488" s="2" t="s">
        <v>171</v>
      </c>
      <c r="C488" s="3">
        <v>45873</v>
      </c>
      <c r="D488" s="2">
        <v>0.59</v>
      </c>
      <c r="E488" s="2">
        <v>0.12</v>
      </c>
      <c r="F488" s="2">
        <v>0.28000000000000003</v>
      </c>
      <c r="G488">
        <v>5.9550561795350218E-2</v>
      </c>
      <c r="H488" s="2">
        <v>5.5118586234458901E-2</v>
      </c>
      <c r="I488" s="2">
        <v>5.5119451599274942E-2</v>
      </c>
      <c r="J488" s="2">
        <v>5.5103685791749055E-2</v>
      </c>
      <c r="K488">
        <v>5.5125450934295377E-2</v>
      </c>
      <c r="L488">
        <v>5.5116157301512987E-2</v>
      </c>
    </row>
    <row r="489" spans="1:12" x14ac:dyDescent="0.25">
      <c r="B489" s="2" t="s">
        <v>171</v>
      </c>
      <c r="C489" s="3">
        <v>45887</v>
      </c>
      <c r="D489" s="2">
        <v>0.62</v>
      </c>
      <c r="E489" s="2">
        <v>0.12</v>
      </c>
      <c r="F489" s="2">
        <v>0.26</v>
      </c>
      <c r="G489">
        <v>-2.6511134658298938E-3</v>
      </c>
      <c r="H489" s="2">
        <v>1.1732501511920207E-2</v>
      </c>
      <c r="I489" s="2">
        <v>-1.5170204658912554E-2</v>
      </c>
      <c r="J489" s="2">
        <v>-7.5005208695047721E-3</v>
      </c>
      <c r="K489">
        <v>1.1729604445981033E-2</v>
      </c>
      <c r="L489">
        <v>-1.1949225585707931E-2</v>
      </c>
    </row>
    <row r="490" spans="1:12" x14ac:dyDescent="0.25">
      <c r="B490" s="2" t="s">
        <v>171</v>
      </c>
      <c r="C490" s="3">
        <v>45901</v>
      </c>
      <c r="D490" s="2">
        <v>0.63</v>
      </c>
      <c r="E490" s="2">
        <v>0.09</v>
      </c>
      <c r="F490" s="2">
        <v>0.28000000000000003</v>
      </c>
      <c r="G490">
        <v>-4.8378522065992316E-2</v>
      </c>
      <c r="H490" s="2">
        <v>-4.5316117990536607E-2</v>
      </c>
      <c r="I490" s="2">
        <v>-4.5313258226553105E-2</v>
      </c>
      <c r="J490" s="2">
        <v>-4.5273248897907757E-2</v>
      </c>
      <c r="K490">
        <v>-4.5311293650090449E-2</v>
      </c>
      <c r="L490">
        <v>-4.5308555492406775E-2</v>
      </c>
    </row>
    <row r="491" spans="1:12" x14ac:dyDescent="0.25">
      <c r="B491" s="2" t="s">
        <v>171</v>
      </c>
      <c r="C491" s="3">
        <v>45915</v>
      </c>
      <c r="D491" s="2">
        <v>0.57999999999999996</v>
      </c>
      <c r="E491" s="2">
        <v>0.11</v>
      </c>
      <c r="F491" s="2">
        <v>0.31</v>
      </c>
      <c r="G491">
        <v>-3.5195530721336743E-2</v>
      </c>
      <c r="H491" s="2">
        <v>-6.2362416461252478E-2</v>
      </c>
      <c r="I491" s="2">
        <v>-6.2362622266183193E-2</v>
      </c>
      <c r="J491" s="2">
        <v>-5.3869832893579682E-2</v>
      </c>
      <c r="K491">
        <v>-6.2363282026806743E-2</v>
      </c>
      <c r="L491">
        <v>-6.236934280295163E-2</v>
      </c>
    </row>
    <row r="492" spans="1:12" x14ac:dyDescent="0.25">
      <c r="B492" s="2" t="s">
        <v>171</v>
      </c>
      <c r="C492" s="3">
        <v>45929</v>
      </c>
      <c r="D492" s="2">
        <v>0.67</v>
      </c>
      <c r="E492" s="2">
        <v>0.08</v>
      </c>
      <c r="F492" s="2">
        <v>0.25</v>
      </c>
      <c r="G492">
        <v>-1.1001737122085008E-2</v>
      </c>
      <c r="H492" s="2">
        <v>1.5892987684867615E-2</v>
      </c>
      <c r="I492" s="2">
        <v>1.5889527856122541E-2</v>
      </c>
      <c r="J492" s="2">
        <v>1.5880393523898029E-2</v>
      </c>
      <c r="K492">
        <v>1.5892541534111002E-2</v>
      </c>
      <c r="L492">
        <v>1.5887546880075685E-2</v>
      </c>
    </row>
    <row r="493" spans="1:12" x14ac:dyDescent="0.25">
      <c r="B493" s="2" t="s">
        <v>171</v>
      </c>
      <c r="C493" s="3">
        <v>45943</v>
      </c>
      <c r="D493" s="2">
        <v>0.56000000000000005</v>
      </c>
      <c r="E493" s="2">
        <v>0.14000000000000001</v>
      </c>
      <c r="F493" s="2">
        <v>0.3</v>
      </c>
      <c r="G493">
        <v>-5.854800932748363E-4</v>
      </c>
      <c r="H493" s="2">
        <v>-1.1008476042207262E-2</v>
      </c>
      <c r="I493" s="2">
        <v>-1.1004225738061903E-2</v>
      </c>
      <c r="J493" s="2">
        <v>-1.1056885770931797E-2</v>
      </c>
      <c r="K493">
        <v>-1.1009199849684686E-2</v>
      </c>
      <c r="L493">
        <v>-1.1002587134094986E-2</v>
      </c>
    </row>
    <row r="494" spans="1:12" x14ac:dyDescent="0.25">
      <c r="A494" t="s">
        <v>172</v>
      </c>
      <c r="B494" s="2" t="s">
        <v>173</v>
      </c>
      <c r="C494" s="3">
        <v>45873</v>
      </c>
      <c r="D494" s="2">
        <v>0.22</v>
      </c>
      <c r="E494" s="2">
        <v>0.08</v>
      </c>
      <c r="F494" s="2">
        <v>0.7</v>
      </c>
      <c r="G494">
        <v>-1.5151515158126449E-2</v>
      </c>
      <c r="H494" s="2">
        <v>-1.2609372601478061E-2</v>
      </c>
      <c r="I494" s="2">
        <v>-1.261541079862134E-2</v>
      </c>
      <c r="J494" s="2">
        <v>-1.2604042806183048E-2</v>
      </c>
      <c r="K494">
        <v>-1.2624124393811078E-2</v>
      </c>
      <c r="L494">
        <v>-1.2631112424287114E-2</v>
      </c>
    </row>
    <row r="495" spans="1:12" x14ac:dyDescent="0.25">
      <c r="B495" s="2" t="s">
        <v>173</v>
      </c>
      <c r="C495" s="3">
        <v>45887</v>
      </c>
      <c r="D495" s="2">
        <v>0.42</v>
      </c>
      <c r="E495" s="2">
        <v>0.27</v>
      </c>
      <c r="F495" s="2">
        <v>0.31</v>
      </c>
      <c r="G495">
        <v>-4.8717948711338964E-2</v>
      </c>
      <c r="H495" s="2">
        <v>-3.3203038244569744E-2</v>
      </c>
      <c r="I495" s="2">
        <v>-2.7298386227996567E-2</v>
      </c>
      <c r="J495" s="2">
        <v>-5.0818882466281329E-2</v>
      </c>
      <c r="K495">
        <v>-3.3133234583300836E-2</v>
      </c>
      <c r="L495">
        <v>-4.4362983466746393E-2</v>
      </c>
    </row>
    <row r="496" spans="1:12" x14ac:dyDescent="0.25">
      <c r="B496" s="2" t="s">
        <v>173</v>
      </c>
      <c r="C496" s="3">
        <v>45901</v>
      </c>
      <c r="D496" s="2">
        <v>0.32</v>
      </c>
      <c r="E496" s="2">
        <v>0.33</v>
      </c>
      <c r="F496" s="2">
        <v>0.35</v>
      </c>
      <c r="G496">
        <v>-4.1778975748875014E-2</v>
      </c>
      <c r="H496" s="2">
        <v>-5.2835910041120211E-2</v>
      </c>
      <c r="I496" s="2">
        <v>-5.2850750897089432E-2</v>
      </c>
      <c r="J496" s="2">
        <v>-5.2778482618624674E-2</v>
      </c>
      <c r="K496">
        <v>-5.2894694404128272E-2</v>
      </c>
      <c r="L496">
        <v>-5.2841709722874677E-2</v>
      </c>
    </row>
    <row r="497" spans="1:12" x14ac:dyDescent="0.25">
      <c r="B497" s="2" t="s">
        <v>173</v>
      </c>
      <c r="C497" s="3">
        <v>45915</v>
      </c>
      <c r="D497" s="2">
        <v>0.56000000000000005</v>
      </c>
      <c r="E497" s="2">
        <v>0.2</v>
      </c>
      <c r="F497" s="2">
        <v>0.24</v>
      </c>
      <c r="G497">
        <v>-6.1884669471738193E-2</v>
      </c>
      <c r="H497" s="2">
        <v>-6.1385850452329527E-2</v>
      </c>
      <c r="I497" s="2">
        <v>-6.1365762394761353E-2</v>
      </c>
      <c r="J497" s="2">
        <v>-6.1344762925261268E-2</v>
      </c>
      <c r="K497">
        <v>-6.1382598331346884E-2</v>
      </c>
      <c r="L497">
        <v>-6.1410033887098134E-2</v>
      </c>
    </row>
    <row r="498" spans="1:12" x14ac:dyDescent="0.25">
      <c r="B498" s="2" t="s">
        <v>173</v>
      </c>
      <c r="C498" s="3">
        <v>45929</v>
      </c>
      <c r="D498" s="2">
        <v>0.4</v>
      </c>
      <c r="E498" s="2">
        <v>0.27</v>
      </c>
      <c r="F498" s="2">
        <v>0.33</v>
      </c>
      <c r="G498">
        <v>-8.9955022575051065E-3</v>
      </c>
      <c r="H498" s="2">
        <v>-2.5245478036175741E-2</v>
      </c>
      <c r="I498" s="2">
        <v>-2.5264102053019825E-2</v>
      </c>
      <c r="J498" s="2">
        <v>-2.5114155251141482E-2</v>
      </c>
      <c r="K498">
        <v>-2.5215419501133828E-2</v>
      </c>
      <c r="L498">
        <v>-2.5184924269108806E-2</v>
      </c>
    </row>
    <row r="499" spans="1:12" x14ac:dyDescent="0.25">
      <c r="B499" s="2" t="s">
        <v>173</v>
      </c>
      <c r="C499" s="3">
        <v>45943</v>
      </c>
      <c r="D499" s="2">
        <v>0.6</v>
      </c>
      <c r="E499" s="2">
        <v>0.13</v>
      </c>
      <c r="F499" s="2">
        <v>0.27</v>
      </c>
      <c r="G499">
        <v>6.2027231468897208E-2</v>
      </c>
      <c r="H499" s="2">
        <v>7.0116374625560113E-2</v>
      </c>
      <c r="I499" s="2">
        <v>5.1965645928122292E-2</v>
      </c>
      <c r="J499" s="2">
        <v>6.0011709601873423E-2</v>
      </c>
      <c r="K499">
        <v>7.0159114171396586E-2</v>
      </c>
      <c r="L499">
        <v>0.1103884372177056</v>
      </c>
    </row>
    <row r="500" spans="1:12" x14ac:dyDescent="0.25">
      <c r="A500" t="s">
        <v>174</v>
      </c>
      <c r="B500" s="2" t="s">
        <v>175</v>
      </c>
      <c r="C500" s="3">
        <v>45873</v>
      </c>
      <c r="D500" s="2">
        <v>0.5</v>
      </c>
      <c r="E500" s="2">
        <v>0.15</v>
      </c>
      <c r="F500" s="2">
        <v>0.35</v>
      </c>
      <c r="G500">
        <v>5.0062578251960288E-3</v>
      </c>
      <c r="H500" s="2">
        <v>2.5157001340095114E-2</v>
      </c>
      <c r="I500" s="2">
        <v>2.5157230617074026E-2</v>
      </c>
      <c r="J500" s="2">
        <v>2.5220422390813978E-2</v>
      </c>
      <c r="K500">
        <v>2.5221094005895787E-2</v>
      </c>
      <c r="L500">
        <v>2.5227963525835787E-2</v>
      </c>
    </row>
    <row r="501" spans="1:12" x14ac:dyDescent="0.25">
      <c r="B501" s="2" t="s">
        <v>175</v>
      </c>
      <c r="C501" s="3">
        <v>45887</v>
      </c>
      <c r="D501" s="2">
        <v>0.61</v>
      </c>
      <c r="E501" s="2">
        <v>0.11</v>
      </c>
      <c r="F501" s="2">
        <v>0.28000000000000003</v>
      </c>
      <c r="G501">
        <v>-1.7434620179256465E-2</v>
      </c>
      <c r="H501" s="2">
        <v>-2.3314468503937126E-2</v>
      </c>
      <c r="I501" s="2">
        <v>5.6199457993176175E-2</v>
      </c>
      <c r="J501" s="2">
        <v>-1.6199999999999992E-2</v>
      </c>
      <c r="K501">
        <v>-2.3322683706070203E-2</v>
      </c>
      <c r="L501">
        <v>-2.3421286688407834E-2</v>
      </c>
    </row>
    <row r="502" spans="1:12" x14ac:dyDescent="0.25">
      <c r="B502" s="2" t="s">
        <v>175</v>
      </c>
      <c r="C502" s="3">
        <v>45901</v>
      </c>
      <c r="D502" s="2">
        <v>0.52</v>
      </c>
      <c r="E502" s="2">
        <v>0.15</v>
      </c>
      <c r="F502" s="2">
        <v>0.33</v>
      </c>
      <c r="G502">
        <v>8.8719898578320713E-3</v>
      </c>
      <c r="H502" s="2">
        <v>-1.1305662278767973E-2</v>
      </c>
      <c r="I502" s="2">
        <v>-1.1306412136760731E-2</v>
      </c>
      <c r="J502" s="2">
        <v>-1.1384427729213243E-2</v>
      </c>
      <c r="K502">
        <v>-1.1122015047432168E-2</v>
      </c>
      <c r="L502">
        <v>-1.1232544019429375E-2</v>
      </c>
    </row>
    <row r="503" spans="1:12" x14ac:dyDescent="0.25">
      <c r="B503" s="2" t="s">
        <v>175</v>
      </c>
      <c r="C503" s="3">
        <v>45915</v>
      </c>
      <c r="D503" s="2">
        <v>0.68</v>
      </c>
      <c r="E503" s="2">
        <v>7.0000000000000007E-2</v>
      </c>
      <c r="F503" s="2">
        <v>0.25</v>
      </c>
      <c r="G503">
        <v>-3.0150753765574367E-2</v>
      </c>
      <c r="H503" s="2">
        <v>-1.9058236449540703E-2</v>
      </c>
      <c r="I503" s="2">
        <v>-1.9059721639212303E-2</v>
      </c>
      <c r="J503" s="2">
        <v>-1.8918363150318702E-2</v>
      </c>
      <c r="K503">
        <v>-1.918623883559387E-2</v>
      </c>
      <c r="L503">
        <v>-1.9035922628185396E-2</v>
      </c>
    </row>
    <row r="504" spans="1:12" x14ac:dyDescent="0.25">
      <c r="B504" s="2" t="s">
        <v>175</v>
      </c>
      <c r="C504" s="3">
        <v>45929</v>
      </c>
      <c r="D504" s="2">
        <v>0.52</v>
      </c>
      <c r="E504" s="2">
        <v>0.08</v>
      </c>
      <c r="F504" s="2">
        <v>0.4</v>
      </c>
      <c r="G504">
        <v>2.2020725387942086E-2</v>
      </c>
      <c r="H504" s="2">
        <v>2.7199913410542127E-2</v>
      </c>
      <c r="I504" s="2">
        <v>2.7201884632025441E-2</v>
      </c>
      <c r="J504" s="2">
        <v>2.7038356738629147E-2</v>
      </c>
      <c r="K504">
        <v>2.7318718381112973E-2</v>
      </c>
      <c r="L504">
        <v>2.7230046948356762E-2</v>
      </c>
    </row>
    <row r="505" spans="1:12" x14ac:dyDescent="0.25">
      <c r="B505" s="2" t="s">
        <v>175</v>
      </c>
      <c r="C505" s="3">
        <v>45943</v>
      </c>
      <c r="D505" s="2">
        <v>0.57999999999999996</v>
      </c>
      <c r="E505" s="2">
        <v>0.24</v>
      </c>
      <c r="F505" s="2">
        <v>0.18</v>
      </c>
      <c r="G505">
        <v>-5.0697084915510213E-2</v>
      </c>
      <c r="H505" s="2">
        <v>-5.5482966818751811E-2</v>
      </c>
      <c r="I505" s="2">
        <v>-2.6481536919852881E-2</v>
      </c>
      <c r="J505" s="2">
        <v>-5.1224489795918392E-2</v>
      </c>
      <c r="K505">
        <v>-5.548260013131967E-2</v>
      </c>
      <c r="L505">
        <v>-9.7196831200487457E-2</v>
      </c>
    </row>
    <row r="506" spans="1:12" x14ac:dyDescent="0.25">
      <c r="A506" t="s">
        <v>176</v>
      </c>
      <c r="B506" s="2" t="s">
        <v>177</v>
      </c>
      <c r="C506" s="3">
        <v>45873</v>
      </c>
      <c r="D506" s="2">
        <v>0.77</v>
      </c>
      <c r="E506" s="2">
        <v>0.06</v>
      </c>
      <c r="F506" s="2">
        <v>0.17</v>
      </c>
      <c r="G506">
        <v>-4.0247678019883423E-2</v>
      </c>
      <c r="H506" s="2">
        <v>-5.5210851751214172E-2</v>
      </c>
      <c r="I506" s="2">
        <v>-5.5222585045261008E-2</v>
      </c>
      <c r="J506" s="2">
        <v>-5.5232917335969446E-2</v>
      </c>
      <c r="K506">
        <v>-5.4740406320541682E-2</v>
      </c>
      <c r="L506">
        <v>-5.5492638731596843E-2</v>
      </c>
    </row>
    <row r="507" spans="1:12" x14ac:dyDescent="0.25">
      <c r="B507" s="2" t="s">
        <v>177</v>
      </c>
      <c r="C507" s="3">
        <v>45887</v>
      </c>
      <c r="D507" s="2">
        <v>0.76</v>
      </c>
      <c r="E507" s="2">
        <v>0.08</v>
      </c>
      <c r="F507" s="2">
        <v>0.16</v>
      </c>
      <c r="G507">
        <v>-5.6451612904056411E-2</v>
      </c>
      <c r="H507" s="2">
        <v>-3.8961921260912302E-2</v>
      </c>
      <c r="I507" s="2">
        <v>-3.8959618497615547E-2</v>
      </c>
      <c r="J507" s="2">
        <v>-3.8974627256081536E-2</v>
      </c>
      <c r="K507">
        <v>-3.9402985074627001E-2</v>
      </c>
      <c r="L507">
        <v>-3.8968824940047997E-2</v>
      </c>
    </row>
    <row r="508" spans="1:12" x14ac:dyDescent="0.25">
      <c r="B508" s="2" t="s">
        <v>177</v>
      </c>
      <c r="C508" s="3">
        <v>45901</v>
      </c>
      <c r="D508" s="2">
        <v>0.74</v>
      </c>
      <c r="E508" s="2">
        <v>0.12</v>
      </c>
      <c r="F508" s="2">
        <v>0.14000000000000001</v>
      </c>
      <c r="G508">
        <v>-1.5384615384004756E-2</v>
      </c>
      <c r="H508" s="2">
        <v>-3.716009237004575E-2</v>
      </c>
      <c r="I508" s="2">
        <v>6.4757699223818785E-3</v>
      </c>
      <c r="J508" s="2">
        <v>-5.7158410451823675E-2</v>
      </c>
      <c r="K508">
        <v>-3.7290242386575377E-2</v>
      </c>
      <c r="L508">
        <v>-4.4915782907049187E-2</v>
      </c>
    </row>
    <row r="509" spans="1:12" x14ac:dyDescent="0.25">
      <c r="B509" s="2" t="s">
        <v>177</v>
      </c>
      <c r="C509" s="3">
        <v>45915</v>
      </c>
      <c r="D509" s="2">
        <v>0.77</v>
      </c>
      <c r="E509" s="2">
        <v>0.13</v>
      </c>
      <c r="F509" s="2">
        <v>0.1</v>
      </c>
      <c r="G509">
        <v>-3.1249999998740279E-2</v>
      </c>
      <c r="H509" s="2">
        <v>-3.3332517559531115E-2</v>
      </c>
      <c r="I509" s="2">
        <v>-3.33352179566914E-2</v>
      </c>
      <c r="J509" s="2">
        <v>-3.3342956120092394E-2</v>
      </c>
      <c r="K509">
        <v>-3.2924467398321632E-2</v>
      </c>
      <c r="L509">
        <v>-3.3311561071195435E-2</v>
      </c>
    </row>
    <row r="510" spans="1:12" x14ac:dyDescent="0.25">
      <c r="B510" s="2" t="s">
        <v>177</v>
      </c>
      <c r="C510" s="3">
        <v>45929</v>
      </c>
      <c r="D510" s="2">
        <v>0.8</v>
      </c>
      <c r="E510" s="2">
        <v>0.03</v>
      </c>
      <c r="F510" s="2">
        <v>0.17</v>
      </c>
      <c r="G510">
        <v>5.0179211463978149E-2</v>
      </c>
      <c r="H510" s="2">
        <v>5.2634243904908978E-2</v>
      </c>
      <c r="I510" s="2">
        <v>5.2627884941570009E-2</v>
      </c>
      <c r="J510" s="2">
        <v>5.2710168732268178E-2</v>
      </c>
      <c r="K510">
        <v>5.2736982643524825E-2</v>
      </c>
      <c r="L510">
        <v>5.2027027027027113E-2</v>
      </c>
    </row>
    <row r="511" spans="1:12" x14ac:dyDescent="0.25">
      <c r="B511" s="2" t="s">
        <v>177</v>
      </c>
      <c r="C511" s="3">
        <v>45943</v>
      </c>
      <c r="D511" s="2">
        <v>0.74</v>
      </c>
      <c r="E511" s="2">
        <v>0.12</v>
      </c>
      <c r="F511" s="2">
        <v>0.14000000000000001</v>
      </c>
      <c r="G511">
        <v>-2.559726962364366E-2</v>
      </c>
      <c r="H511" s="2">
        <v>-1.5525037279330335E-2</v>
      </c>
      <c r="I511" s="2">
        <v>-1.5513524326006237E-2</v>
      </c>
      <c r="J511" s="2">
        <v>-1.560283687943264E-2</v>
      </c>
      <c r="K511">
        <v>-1.5852885225110983E-2</v>
      </c>
      <c r="L511">
        <v>-1.5414258188824748E-2</v>
      </c>
    </row>
    <row r="512" spans="1:12" x14ac:dyDescent="0.25">
      <c r="A512" t="s">
        <v>178</v>
      </c>
      <c r="B512" s="2" t="s">
        <v>179</v>
      </c>
      <c r="C512" s="3">
        <v>45873</v>
      </c>
      <c r="D512" s="2">
        <v>0.64</v>
      </c>
      <c r="E512" s="2">
        <v>0.12</v>
      </c>
      <c r="F512" s="2">
        <v>0.24</v>
      </c>
      <c r="G512">
        <v>0.13102556375140212</v>
      </c>
      <c r="H512" s="2">
        <v>0.13636439527833627</v>
      </c>
      <c r="I512" s="2">
        <v>0.13636402693483121</v>
      </c>
      <c r="J512" s="2">
        <v>0.13635752688172048</v>
      </c>
      <c r="K512">
        <v>0.13634477751270624</v>
      </c>
      <c r="L512">
        <v>0.13637076127279385</v>
      </c>
    </row>
    <row r="513" spans="1:12" x14ac:dyDescent="0.25">
      <c r="B513" s="2" t="s">
        <v>179</v>
      </c>
      <c r="C513" s="3">
        <v>45887</v>
      </c>
      <c r="D513" s="2">
        <v>0.57999999999999996</v>
      </c>
      <c r="E513" s="2">
        <v>0.15</v>
      </c>
      <c r="F513" s="2">
        <v>0.27</v>
      </c>
      <c r="G513">
        <v>1.0906197614249545E-2</v>
      </c>
      <c r="H513" s="2">
        <v>-2.9091305981348733E-2</v>
      </c>
      <c r="I513" s="2">
        <v>-2.9091440684160589E-2</v>
      </c>
      <c r="J513" s="2">
        <v>-2.9096930628659371E-2</v>
      </c>
      <c r="K513">
        <v>-2.9072155538314028E-2</v>
      </c>
      <c r="L513">
        <v>-2.9104786426962119E-2</v>
      </c>
    </row>
    <row r="514" spans="1:12" x14ac:dyDescent="0.25">
      <c r="B514" s="2" t="s">
        <v>179</v>
      </c>
      <c r="C514" s="3">
        <v>45901</v>
      </c>
      <c r="D514" s="2">
        <v>0.69</v>
      </c>
      <c r="E514" s="2">
        <v>0.1</v>
      </c>
      <c r="F514" s="2">
        <v>0.21</v>
      </c>
      <c r="G514">
        <v>0.6649439405938935</v>
      </c>
      <c r="H514" s="2">
        <v>0.71147996739959907</v>
      </c>
      <c r="I514" s="2">
        <v>0.44291510798090378</v>
      </c>
      <c r="J514" s="2">
        <v>0.65203752208076993</v>
      </c>
      <c r="K514">
        <v>0.7114788004136503</v>
      </c>
      <c r="L514">
        <v>0.63463724190187532</v>
      </c>
    </row>
    <row r="515" spans="1:12" x14ac:dyDescent="0.25">
      <c r="B515" s="2" t="s">
        <v>179</v>
      </c>
      <c r="C515" s="3">
        <v>45915</v>
      </c>
      <c r="D515" s="2">
        <v>0.73</v>
      </c>
      <c r="E515" s="2">
        <v>0.14000000000000001</v>
      </c>
      <c r="F515" s="2">
        <v>0.13</v>
      </c>
      <c r="G515">
        <v>-0.10231108803000719</v>
      </c>
      <c r="H515" s="2">
        <v>-8.2062093191575772E-2</v>
      </c>
      <c r="I515" s="2">
        <v>-8.2062390589776199E-2</v>
      </c>
      <c r="J515" s="2">
        <v>-0.71094887819626496</v>
      </c>
      <c r="K515">
        <v>-8.2065366657511657E-2</v>
      </c>
      <c r="L515">
        <v>-8.2046527797896784E-2</v>
      </c>
    </row>
    <row r="516" spans="1:12" x14ac:dyDescent="0.25">
      <c r="B516" s="2" t="s">
        <v>179</v>
      </c>
      <c r="C516" s="3">
        <v>45929</v>
      </c>
      <c r="D516" s="2">
        <v>0.32</v>
      </c>
      <c r="E516" s="2">
        <v>0.39</v>
      </c>
      <c r="F516" s="2">
        <v>0.28999999999999998</v>
      </c>
      <c r="G516">
        <v>3.4712178206116476E-3</v>
      </c>
      <c r="H516" s="2">
        <v>1.4324754993021781E-3</v>
      </c>
      <c r="I516" s="2">
        <v>1.4327461883268174E-3</v>
      </c>
      <c r="J516" s="2">
        <v>1.4031507111422793E-3</v>
      </c>
      <c r="K516">
        <v>1.4361797618334974E-3</v>
      </c>
      <c r="L516">
        <v>1.4202303929304627E-3</v>
      </c>
    </row>
    <row r="517" spans="1:12" x14ac:dyDescent="0.25">
      <c r="B517" s="2" t="s">
        <v>179</v>
      </c>
      <c r="C517" s="3">
        <v>45943</v>
      </c>
      <c r="D517" s="2">
        <v>0.61</v>
      </c>
      <c r="E517" s="2">
        <v>0.16</v>
      </c>
      <c r="F517" s="2">
        <v>0.23</v>
      </c>
      <c r="G517">
        <v>2.9690816748002096E-2</v>
      </c>
      <c r="H517" s="2">
        <v>2.2030765848396843E-2</v>
      </c>
      <c r="I517" s="2">
        <v>2.2031941128116843E-2</v>
      </c>
      <c r="J517" s="2">
        <v>2.2036812941850815E-2</v>
      </c>
      <c r="K517">
        <v>2.2019719151478965E-2</v>
      </c>
      <c r="L517">
        <v>2.2029624960605128E-2</v>
      </c>
    </row>
    <row r="518" spans="1:12" x14ac:dyDescent="0.25">
      <c r="A518" t="s">
        <v>180</v>
      </c>
      <c r="B518" s="2" t="s">
        <v>181</v>
      </c>
      <c r="C518" s="3">
        <v>45873</v>
      </c>
      <c r="D518" s="2">
        <v>0.64</v>
      </c>
      <c r="E518" s="2">
        <v>0.12</v>
      </c>
      <c r="F518" s="2">
        <v>0.24</v>
      </c>
      <c r="G518">
        <v>-6.6079295097604346E-3</v>
      </c>
      <c r="H518" s="2">
        <v>-1.0987679746084051E-2</v>
      </c>
      <c r="I518" s="2">
        <v>-1.0992347868334806E-2</v>
      </c>
      <c r="J518" s="2">
        <v>-1.0960981662760102E-2</v>
      </c>
      <c r="K518">
        <v>-1.1039964672113059E-2</v>
      </c>
      <c r="L518">
        <v>-1.0899764907031404E-2</v>
      </c>
    </row>
    <row r="519" spans="1:12" x14ac:dyDescent="0.25">
      <c r="B519" s="2" t="s">
        <v>181</v>
      </c>
      <c r="C519" s="3">
        <v>45887</v>
      </c>
      <c r="D519" s="2">
        <v>0.55000000000000004</v>
      </c>
      <c r="E519" s="2">
        <v>0.13</v>
      </c>
      <c r="F519" s="2">
        <v>0.32</v>
      </c>
      <c r="G519">
        <v>8.8691796011157051E-2</v>
      </c>
      <c r="H519" s="2">
        <v>6.4441450269475703E-2</v>
      </c>
      <c r="I519" s="2">
        <v>0.54263432606693274</v>
      </c>
      <c r="J519" s="2">
        <v>2.6765177389001176E-2</v>
      </c>
      <c r="K519">
        <v>6.4523331100692069E-2</v>
      </c>
      <c r="L519">
        <v>7.9515989628349174E-2</v>
      </c>
    </row>
    <row r="520" spans="1:12" x14ac:dyDescent="0.25">
      <c r="B520" s="2" t="s">
        <v>181</v>
      </c>
      <c r="C520" s="3">
        <v>45901</v>
      </c>
      <c r="D520" s="2">
        <v>0.56999999999999995</v>
      </c>
      <c r="E520" s="2">
        <v>0.09</v>
      </c>
      <c r="F520" s="2">
        <v>0.34</v>
      </c>
      <c r="G520">
        <v>5.4989816698773661E-2</v>
      </c>
      <c r="H520" s="2">
        <v>7.933165326060701E-2</v>
      </c>
      <c r="I520" s="2">
        <v>7.9333487250117365E-2</v>
      </c>
      <c r="J520" s="2">
        <v>7.9288575113705795E-2</v>
      </c>
      <c r="K520">
        <v>7.9278523489932765E-2</v>
      </c>
      <c r="L520">
        <v>7.9263410728582923E-2</v>
      </c>
    </row>
    <row r="521" spans="1:12" x14ac:dyDescent="0.25">
      <c r="B521" s="2" t="s">
        <v>181</v>
      </c>
      <c r="C521" s="3">
        <v>45915</v>
      </c>
      <c r="D521" s="2">
        <v>0.72</v>
      </c>
      <c r="E521" s="2">
        <v>0.08</v>
      </c>
      <c r="F521" s="2">
        <v>0.2</v>
      </c>
      <c r="G521">
        <v>-3.6679536683987317E-2</v>
      </c>
      <c r="H521" s="2">
        <v>-3.2880217495602181E-2</v>
      </c>
      <c r="I521" s="2">
        <v>-3.2882411081770854E-2</v>
      </c>
      <c r="J521" s="2">
        <v>-3.2895150638404938E-2</v>
      </c>
      <c r="K521">
        <v>-3.2841041585697575E-2</v>
      </c>
      <c r="L521">
        <v>-3.2826409495549054E-2</v>
      </c>
    </row>
    <row r="522" spans="1:12" x14ac:dyDescent="0.25">
      <c r="B522" s="2" t="s">
        <v>181</v>
      </c>
      <c r="C522" s="3">
        <v>45929</v>
      </c>
      <c r="D522" s="2">
        <v>0.86</v>
      </c>
      <c r="E522" s="2">
        <v>0.03</v>
      </c>
      <c r="F522" s="2">
        <v>0.11</v>
      </c>
      <c r="G522">
        <v>3.4068136273288099E-2</v>
      </c>
      <c r="H522" s="2">
        <v>3.3998081820286477E-2</v>
      </c>
      <c r="I522" s="2">
        <v>3.4000427102718223E-2</v>
      </c>
      <c r="J522" s="2">
        <v>3.4014047866805418E-2</v>
      </c>
      <c r="K522">
        <v>3.3956198513160479E-2</v>
      </c>
      <c r="L522">
        <v>3.3940556088207188E-2</v>
      </c>
    </row>
    <row r="523" spans="1:12" x14ac:dyDescent="0.25">
      <c r="B523" s="2" t="s">
        <v>181</v>
      </c>
      <c r="C523" s="3">
        <v>45943</v>
      </c>
      <c r="D523" s="2">
        <v>0.54</v>
      </c>
      <c r="E523" s="2">
        <v>0.03</v>
      </c>
      <c r="F523" s="2">
        <v>0.43</v>
      </c>
      <c r="G523">
        <v>-9.6899224795462084E-3</v>
      </c>
      <c r="H523" s="2">
        <v>-1.1599765445919339E-2</v>
      </c>
      <c r="I523" s="2">
        <v>-1.1602519657161353E-2</v>
      </c>
      <c r="J523" s="2">
        <v>-1.1573054909113902E-2</v>
      </c>
      <c r="K523">
        <v>-1.1659541391371736E-2</v>
      </c>
      <c r="L523">
        <v>-1.1498516320474746E-2</v>
      </c>
    </row>
    <row r="524" spans="1:12" x14ac:dyDescent="0.25">
      <c r="A524" t="s">
        <v>182</v>
      </c>
      <c r="B524" s="2" t="s">
        <v>183</v>
      </c>
      <c r="C524" s="3">
        <v>45873</v>
      </c>
      <c r="D524" s="2">
        <v>0.71</v>
      </c>
      <c r="E524" s="2">
        <v>0.05</v>
      </c>
      <c r="F524" s="2">
        <v>0.24</v>
      </c>
      <c r="G524">
        <v>5.3542202480387158E-2</v>
      </c>
      <c r="H524" s="2">
        <v>2.9308356857644418E-2</v>
      </c>
      <c r="I524" s="2">
        <v>2.9307282415630572E-2</v>
      </c>
      <c r="J524" s="2">
        <v>2.9347826086956581E-2</v>
      </c>
      <c r="K524">
        <v>2.9328445259123582E-2</v>
      </c>
      <c r="L524">
        <v>2.9316813541575847E-2</v>
      </c>
    </row>
    <row r="525" spans="1:12" x14ac:dyDescent="0.25">
      <c r="B525" s="2" t="s">
        <v>183</v>
      </c>
      <c r="C525" s="3">
        <v>45887</v>
      </c>
      <c r="D525" s="2">
        <v>0.69</v>
      </c>
      <c r="E525" s="2">
        <v>0.06</v>
      </c>
      <c r="F525" s="2">
        <v>0.25</v>
      </c>
      <c r="G525">
        <v>0.11451398136524009</v>
      </c>
      <c r="H525" s="2">
        <v>8.5879515944796092E-2</v>
      </c>
      <c r="I525" s="2">
        <v>2.0973486347447546E-2</v>
      </c>
      <c r="J525" s="2">
        <v>4.3966593069021634E-2</v>
      </c>
      <c r="K525">
        <v>8.5883114780637732E-2</v>
      </c>
      <c r="L525">
        <v>1.7801135882004011E-2</v>
      </c>
    </row>
    <row r="526" spans="1:12" x14ac:dyDescent="0.25">
      <c r="B526" s="2" t="s">
        <v>183</v>
      </c>
      <c r="C526" s="3">
        <v>45901</v>
      </c>
      <c r="D526" s="2">
        <v>0.59</v>
      </c>
      <c r="E526" s="2">
        <v>7.0000000000000007E-2</v>
      </c>
      <c r="F526" s="2">
        <v>0.34</v>
      </c>
      <c r="G526">
        <v>4.0422142571466015E-2</v>
      </c>
      <c r="H526" s="2">
        <v>8.8448130418432622E-2</v>
      </c>
      <c r="I526" s="2">
        <v>8.844834159359509E-2</v>
      </c>
      <c r="J526" s="2">
        <v>8.8413793103448449E-2</v>
      </c>
      <c r="K526">
        <v>8.8483041371598986E-2</v>
      </c>
      <c r="L526">
        <v>8.8448405097026603E-2</v>
      </c>
    </row>
    <row r="527" spans="1:12" x14ac:dyDescent="0.25">
      <c r="B527" s="2" t="s">
        <v>183</v>
      </c>
      <c r="C527" s="3">
        <v>45915</v>
      </c>
      <c r="D527" s="2">
        <v>0.55000000000000004</v>
      </c>
      <c r="E527" s="2">
        <v>0.12</v>
      </c>
      <c r="F527" s="2">
        <v>0.33</v>
      </c>
      <c r="G527">
        <v>0.25059328030415012</v>
      </c>
      <c r="H527" s="2">
        <v>0.18469841773777115</v>
      </c>
      <c r="I527" s="2">
        <v>0.18469935785172223</v>
      </c>
      <c r="J527" s="2">
        <v>4.68043762936678E-2</v>
      </c>
      <c r="K527">
        <v>0.18470072592795511</v>
      </c>
      <c r="L527">
        <v>0.18471191368888215</v>
      </c>
    </row>
    <row r="528" spans="1:12" x14ac:dyDescent="0.25">
      <c r="B528" s="2" t="s">
        <v>183</v>
      </c>
      <c r="C528" s="3">
        <v>45929</v>
      </c>
      <c r="D528" s="2">
        <v>0.69</v>
      </c>
      <c r="E528" s="2">
        <v>0.05</v>
      </c>
      <c r="F528" s="2">
        <v>0.26</v>
      </c>
      <c r="G528">
        <v>0.20394461262349911</v>
      </c>
      <c r="H528" s="2">
        <v>0.16826996969422298</v>
      </c>
      <c r="I528" s="2">
        <v>0.16827223944140846</v>
      </c>
      <c r="J528" s="2">
        <v>0.11944635002622971</v>
      </c>
      <c r="K528">
        <v>0.16821781605873182</v>
      </c>
      <c r="L528">
        <v>0.1683136343085965</v>
      </c>
    </row>
    <row r="529" spans="1:12" x14ac:dyDescent="0.25">
      <c r="B529" s="2" t="s">
        <v>183</v>
      </c>
      <c r="C529" s="3">
        <v>45943</v>
      </c>
      <c r="D529" s="2">
        <v>0.68</v>
      </c>
      <c r="E529" s="2">
        <v>0.08</v>
      </c>
      <c r="F529" s="2">
        <v>0.24</v>
      </c>
      <c r="G529">
        <v>-0.10641316685954912</v>
      </c>
      <c r="H529" s="2">
        <v>-2.8835028420111687E-2</v>
      </c>
      <c r="I529" s="2">
        <v>-5.7084289377783801E-2</v>
      </c>
      <c r="J529" s="2">
        <v>-9.6031145236292845E-2</v>
      </c>
      <c r="K529">
        <v>-2.8799049928249911E-2</v>
      </c>
      <c r="L529">
        <v>-0.1111725357952347</v>
      </c>
    </row>
    <row r="530" spans="1:12" x14ac:dyDescent="0.25">
      <c r="A530" t="s">
        <v>184</v>
      </c>
      <c r="B530" s="2" t="s">
        <v>185</v>
      </c>
      <c r="C530" s="3">
        <v>45873</v>
      </c>
      <c r="D530" s="2">
        <v>0.23</v>
      </c>
      <c r="E530" s="2">
        <v>0.9</v>
      </c>
      <c r="F530" s="2">
        <v>0.68</v>
      </c>
      <c r="G530">
        <v>-2.0771513348755551E-2</v>
      </c>
      <c r="H530" s="2">
        <v>-2.3671252596966969E-2</v>
      </c>
      <c r="I530" s="2">
        <v>-2.3661944116489479E-2</v>
      </c>
      <c r="J530" s="2">
        <v>-2.3601561048132401E-2</v>
      </c>
      <c r="K530">
        <v>-2.3684594082495403E-2</v>
      </c>
      <c r="L530">
        <v>-2.365806589950676E-2</v>
      </c>
    </row>
    <row r="531" spans="1:12" x14ac:dyDescent="0.25">
      <c r="B531" s="2" t="s">
        <v>185</v>
      </c>
      <c r="C531" s="3">
        <v>45887</v>
      </c>
      <c r="D531" s="2">
        <v>0.5</v>
      </c>
      <c r="E531" s="2">
        <v>0.14000000000000001</v>
      </c>
      <c r="F531" s="2">
        <v>0.36</v>
      </c>
      <c r="G531">
        <v>-4.8484848483912324E-2</v>
      </c>
      <c r="H531" s="2">
        <v>-1.8179685667370438E-2</v>
      </c>
      <c r="I531" s="2">
        <v>6.1470247392552968E-3</v>
      </c>
      <c r="J531" s="2">
        <v>-3.3498287019413688E-2</v>
      </c>
      <c r="K531">
        <v>-1.8138389191610056E-2</v>
      </c>
      <c r="L531">
        <v>-7.247437774524172E-3</v>
      </c>
    </row>
    <row r="532" spans="1:12" x14ac:dyDescent="0.25">
      <c r="B532" s="2" t="s">
        <v>185</v>
      </c>
      <c r="C532" s="3">
        <v>45901</v>
      </c>
      <c r="D532" s="2">
        <v>0.27</v>
      </c>
      <c r="E532" s="2">
        <v>0.35</v>
      </c>
      <c r="F532" s="2">
        <v>0.38</v>
      </c>
      <c r="G532">
        <v>-2.2292993637368166E-2</v>
      </c>
      <c r="H532" s="2">
        <v>-4.6299298598904394E-2</v>
      </c>
      <c r="I532" s="2">
        <v>-4.6305106248017772E-2</v>
      </c>
      <c r="J532" s="2">
        <v>-4.6278062229224141E-2</v>
      </c>
      <c r="K532">
        <v>-4.6297704120419614E-2</v>
      </c>
      <c r="L532">
        <v>-4.6309269227933179E-2</v>
      </c>
    </row>
    <row r="533" spans="1:12" x14ac:dyDescent="0.25">
      <c r="B533" s="2" t="s">
        <v>185</v>
      </c>
      <c r="C533" s="3">
        <v>45915</v>
      </c>
      <c r="D533" s="2">
        <v>0.67</v>
      </c>
      <c r="E533" s="2">
        <v>0.14000000000000001</v>
      </c>
      <c r="F533" s="2">
        <v>0.19</v>
      </c>
      <c r="G533">
        <v>-2.2801302926844232E-2</v>
      </c>
      <c r="H533" s="2">
        <v>-2.5892921050748027E-2</v>
      </c>
      <c r="I533" s="2">
        <v>-2.5886965501549002E-2</v>
      </c>
      <c r="J533" s="2">
        <v>-2.6016931653933512E-2</v>
      </c>
      <c r="K533">
        <v>-2.5906735751295318E-2</v>
      </c>
      <c r="L533">
        <v>-2.590272945178989E-2</v>
      </c>
    </row>
    <row r="534" spans="1:12" x14ac:dyDescent="0.25">
      <c r="B534" s="2" t="s">
        <v>185</v>
      </c>
      <c r="C534" s="3">
        <v>45929</v>
      </c>
      <c r="D534" s="2">
        <v>0.59</v>
      </c>
      <c r="E534" s="2">
        <v>0.28000000000000003</v>
      </c>
      <c r="F534" s="2">
        <v>0.13</v>
      </c>
      <c r="G534">
        <v>6.6666666635110993E-3</v>
      </c>
      <c r="H534" s="2">
        <v>3.324944431177407E-3</v>
      </c>
      <c r="I534" s="2">
        <v>3.3241096776511149E-3</v>
      </c>
      <c r="J534" s="2">
        <v>3.3919864320542514E-3</v>
      </c>
      <c r="K534">
        <v>3.3551554828150513E-3</v>
      </c>
      <c r="L534">
        <v>3.3338625178599632E-3</v>
      </c>
    </row>
    <row r="535" spans="1:12" x14ac:dyDescent="0.25">
      <c r="B535" s="2" t="s">
        <v>185</v>
      </c>
      <c r="C535" s="3">
        <v>45943</v>
      </c>
      <c r="D535" s="2">
        <v>0.59</v>
      </c>
      <c r="E535" s="2">
        <v>0.15</v>
      </c>
      <c r="F535" s="2">
        <v>0.26</v>
      </c>
      <c r="G535">
        <v>2.6490066224766233E-2</v>
      </c>
      <c r="H535" s="2">
        <v>2.6493097513640079E-2</v>
      </c>
      <c r="I535" s="2">
        <v>2.6486864019771114E-2</v>
      </c>
      <c r="J535" s="2">
        <v>2.6410310585252506E-2</v>
      </c>
      <c r="K535">
        <v>2.6425250795204296E-2</v>
      </c>
      <c r="L535">
        <v>2.6503164556962094E-2</v>
      </c>
    </row>
    <row r="536" spans="1:12" x14ac:dyDescent="0.25">
      <c r="A536" t="s">
        <v>186</v>
      </c>
      <c r="B536" s="2" t="s">
        <v>187</v>
      </c>
      <c r="C536" s="3">
        <v>45873</v>
      </c>
      <c r="D536" s="2">
        <v>0.72</v>
      </c>
      <c r="E536" s="2">
        <v>0.08</v>
      </c>
      <c r="F536" s="2">
        <v>0.2</v>
      </c>
      <c r="G536">
        <v>7.6015429998108466E-2</v>
      </c>
      <c r="H536" s="2">
        <v>6.491826787805087E-2</v>
      </c>
      <c r="I536" s="2">
        <v>6.4923829054821039E-2</v>
      </c>
      <c r="J536" s="2">
        <v>6.4939924333762986E-2</v>
      </c>
      <c r="K536">
        <v>6.4959670871000977E-2</v>
      </c>
      <c r="L536">
        <v>6.49071925754061E-2</v>
      </c>
    </row>
    <row r="537" spans="1:12" x14ac:dyDescent="0.25">
      <c r="B537" s="2" t="s">
        <v>187</v>
      </c>
      <c r="C537" s="3">
        <v>45887</v>
      </c>
      <c r="D537" s="2">
        <v>0.7</v>
      </c>
      <c r="E537" s="2">
        <v>7.0000000000000007E-2</v>
      </c>
      <c r="F537" s="2">
        <v>0.23</v>
      </c>
      <c r="G537">
        <v>0.17819485448459749</v>
      </c>
      <c r="H537" s="2">
        <v>0.22331979595924287</v>
      </c>
      <c r="I537" s="2">
        <v>0.41922463559420392</v>
      </c>
      <c r="J537" s="2">
        <v>0.18586765567050545</v>
      </c>
      <c r="K537">
        <v>0.22330097087378642</v>
      </c>
      <c r="L537">
        <v>0.15605425132087791</v>
      </c>
    </row>
    <row r="538" spans="1:12" x14ac:dyDescent="0.25">
      <c r="B538" s="2" t="s">
        <v>187</v>
      </c>
      <c r="C538" s="3">
        <v>45901</v>
      </c>
      <c r="D538" s="2">
        <v>0.8</v>
      </c>
      <c r="E538" s="2">
        <v>7.0000000000000007E-2</v>
      </c>
      <c r="F538" s="2">
        <v>0.13</v>
      </c>
      <c r="G538">
        <v>0.32307141578906245</v>
      </c>
      <c r="H538" s="2">
        <v>0.29060868171795046</v>
      </c>
      <c r="I538" s="2">
        <v>0.29061050922714865</v>
      </c>
      <c r="J538" s="2">
        <v>0.2906241769818278</v>
      </c>
      <c r="K538">
        <v>0.29061746862793975</v>
      </c>
      <c r="L538">
        <v>0.29056728232189988</v>
      </c>
    </row>
    <row r="539" spans="1:12" x14ac:dyDescent="0.25">
      <c r="B539" s="2" t="s">
        <v>187</v>
      </c>
      <c r="C539" s="3">
        <v>45915</v>
      </c>
      <c r="D539" s="2">
        <v>0.79</v>
      </c>
      <c r="E539" s="2">
        <v>0.06</v>
      </c>
      <c r="F539" s="2">
        <v>0.15</v>
      </c>
      <c r="G539">
        <v>0.1320346320366933</v>
      </c>
      <c r="H539" s="2">
        <v>4.6876265229995169E-2</v>
      </c>
      <c r="I539" s="2">
        <v>4.6876796748310967E-2</v>
      </c>
      <c r="J539" s="2">
        <v>6.0631568207325848E-2</v>
      </c>
      <c r="K539">
        <v>4.6877012234385049E-2</v>
      </c>
      <c r="L539">
        <v>4.6913219670694693E-2</v>
      </c>
    </row>
    <row r="540" spans="1:12" x14ac:dyDescent="0.25">
      <c r="B540" s="2" t="s">
        <v>187</v>
      </c>
      <c r="C540" s="3">
        <v>45929</v>
      </c>
      <c r="D540" s="2">
        <v>0.69</v>
      </c>
      <c r="E540" s="2">
        <v>0.15</v>
      </c>
      <c r="F540" s="2">
        <v>0.16</v>
      </c>
      <c r="G540">
        <v>-3.699153347606907E-3</v>
      </c>
      <c r="H540" s="2">
        <v>4.0249785356823414E-2</v>
      </c>
      <c r="I540" s="2">
        <v>4.0247303246863889E-2</v>
      </c>
      <c r="J540" s="2">
        <v>4.0258772035304528E-2</v>
      </c>
      <c r="K540">
        <v>4.0226350104563983E-2</v>
      </c>
      <c r="L540">
        <v>4.0242711675268578E-2</v>
      </c>
    </row>
    <row r="541" spans="1:12" x14ac:dyDescent="0.25">
      <c r="B541" s="2" t="s">
        <v>187</v>
      </c>
      <c r="C541" s="3">
        <v>45943</v>
      </c>
      <c r="D541" s="2">
        <v>0.74</v>
      </c>
      <c r="E541" s="2">
        <v>0.06</v>
      </c>
      <c r="F541" s="2">
        <v>0.2</v>
      </c>
      <c r="G541">
        <v>-3.7423533639668362E-2</v>
      </c>
      <c r="H541" s="2">
        <v>-1.6135268574148137E-3</v>
      </c>
      <c r="I541" s="2">
        <v>-4.4514983428367003E-2</v>
      </c>
      <c r="J541" s="2">
        <v>-4.0873887411859919E-2</v>
      </c>
      <c r="K541">
        <v>-1.5964995269631898E-3</v>
      </c>
      <c r="L541">
        <v>-7.6064364733489806E-2</v>
      </c>
    </row>
    <row r="542" spans="1:12" x14ac:dyDescent="0.25">
      <c r="A542" t="s">
        <v>188</v>
      </c>
      <c r="B542" s="2" t="s">
        <v>189</v>
      </c>
      <c r="C542" s="3">
        <v>45873</v>
      </c>
      <c r="D542" s="2">
        <v>0.72</v>
      </c>
      <c r="E542" s="2">
        <v>7.0000000000000007E-2</v>
      </c>
      <c r="F542" s="2">
        <v>0.21</v>
      </c>
      <c r="G542">
        <v>-3.0136986302696636E-2</v>
      </c>
      <c r="H542" s="2">
        <v>-2.1947861080331678E-2</v>
      </c>
      <c r="I542" s="2">
        <v>-2.1945453554241566E-2</v>
      </c>
      <c r="J542" s="2">
        <v>-2.1964150467053738E-2</v>
      </c>
      <c r="K542">
        <v>-2.2109533468559879E-2</v>
      </c>
      <c r="L542">
        <v>-2.1962801741194981E-2</v>
      </c>
    </row>
    <row r="543" spans="1:12" x14ac:dyDescent="0.25">
      <c r="B543" s="2" t="s">
        <v>189</v>
      </c>
      <c r="C543" s="3">
        <v>45887</v>
      </c>
      <c r="D543" s="2">
        <v>0.59</v>
      </c>
      <c r="E543" s="2">
        <v>0.11</v>
      </c>
      <c r="F543" s="2">
        <v>0.3</v>
      </c>
      <c r="G543">
        <v>-2.683615819006626E-2</v>
      </c>
      <c r="H543" s="2">
        <v>-2.8052844391564202E-2</v>
      </c>
      <c r="I543" s="2">
        <v>-6.1364615267679437E-3</v>
      </c>
      <c r="J543" s="2">
        <v>-4.1171915332989209E-2</v>
      </c>
      <c r="K543">
        <v>-2.8002489110143036E-2</v>
      </c>
      <c r="L543">
        <v>-1.5577584462876876E-2</v>
      </c>
    </row>
    <row r="544" spans="1:12" x14ac:dyDescent="0.25">
      <c r="B544" s="2" t="s">
        <v>189</v>
      </c>
      <c r="C544" s="3">
        <v>45901</v>
      </c>
      <c r="D544" s="2">
        <v>0.78</v>
      </c>
      <c r="E544" s="2">
        <v>0.06</v>
      </c>
      <c r="F544" s="2">
        <v>0.16</v>
      </c>
      <c r="G544">
        <v>1.7416545712523605E-2</v>
      </c>
      <c r="H544" s="2">
        <v>1.4431260089445506E-2</v>
      </c>
      <c r="I544" s="2">
        <v>1.4428910846666119E-2</v>
      </c>
      <c r="J544" s="2">
        <v>1.4403015210660982E-2</v>
      </c>
      <c r="K544">
        <v>1.4511310285958114E-2</v>
      </c>
      <c r="L544">
        <v>1.4385532264693806E-2</v>
      </c>
    </row>
    <row r="545" spans="1:12" x14ac:dyDescent="0.25">
      <c r="B545" s="2" t="s">
        <v>189</v>
      </c>
      <c r="C545" s="3">
        <v>45915</v>
      </c>
      <c r="D545" s="2">
        <v>0.73</v>
      </c>
      <c r="E545" s="2">
        <v>0.03</v>
      </c>
      <c r="F545" s="2">
        <v>0.24</v>
      </c>
      <c r="G545">
        <v>-2.8530670406665703E-3</v>
      </c>
      <c r="H545" s="2">
        <v>-9.9567307692307924E-3</v>
      </c>
      <c r="I545" s="2">
        <v>-9.9565750588046162E-3</v>
      </c>
      <c r="J545" s="2">
        <v>2.653927813163484E-3</v>
      </c>
      <c r="K545">
        <v>-1.009676062263351E-2</v>
      </c>
      <c r="L545">
        <v>-9.9270664505671808E-3</v>
      </c>
    </row>
    <row r="546" spans="1:12" x14ac:dyDescent="0.25">
      <c r="B546" s="2" t="s">
        <v>189</v>
      </c>
      <c r="C546" s="3">
        <v>45929</v>
      </c>
      <c r="D546" s="2">
        <v>0.39</v>
      </c>
      <c r="E546" s="2">
        <v>0.55000000000000004</v>
      </c>
      <c r="F546" s="2">
        <v>0.06</v>
      </c>
      <c r="G546">
        <v>4.1487839769588752E-2</v>
      </c>
      <c r="H546" s="2">
        <v>4.3102234265207866E-2</v>
      </c>
      <c r="I546" s="2">
        <v>4.3105242584385452E-2</v>
      </c>
      <c r="J546" s="2">
        <v>4.3144520910534619E-2</v>
      </c>
      <c r="K546">
        <v>4.3136421589460232E-2</v>
      </c>
      <c r="L546">
        <v>4.297114794352367E-2</v>
      </c>
    </row>
    <row r="547" spans="1:12" x14ac:dyDescent="0.25">
      <c r="B547" s="2" t="s">
        <v>189</v>
      </c>
      <c r="C547" s="3">
        <v>45943</v>
      </c>
      <c r="D547" s="2">
        <v>0.72</v>
      </c>
      <c r="E547" s="2">
        <v>0.05</v>
      </c>
      <c r="F547" s="2">
        <v>0.23</v>
      </c>
      <c r="G547">
        <v>-1.9230769231618136E-2</v>
      </c>
      <c r="H547" s="2">
        <v>-1.6526617164404945E-2</v>
      </c>
      <c r="I547" s="2">
        <v>-1.6532505329141429E-2</v>
      </c>
      <c r="J547" s="2">
        <v>-1.6493275818320236E-2</v>
      </c>
      <c r="K547">
        <v>-1.6500305561214089E-2</v>
      </c>
      <c r="L547">
        <v>-1.6480282519129044E-2</v>
      </c>
    </row>
    <row r="548" spans="1:12" x14ac:dyDescent="0.25">
      <c r="A548" t="s">
        <v>190</v>
      </c>
      <c r="B548" s="2" t="s">
        <v>191</v>
      </c>
      <c r="C548" s="3">
        <v>45873</v>
      </c>
      <c r="D548" s="2">
        <v>0.55000000000000004</v>
      </c>
      <c r="E548" s="2">
        <v>0.1</v>
      </c>
      <c r="F548" s="2">
        <v>0.35</v>
      </c>
      <c r="G548">
        <v>4.0469973889855654E-2</v>
      </c>
      <c r="H548" s="2">
        <v>6.7909479378086599E-2</v>
      </c>
      <c r="I548" s="2">
        <v>6.7913366768003358E-2</v>
      </c>
      <c r="J548" s="2">
        <v>6.7902890483535538E-2</v>
      </c>
      <c r="K548">
        <v>6.7912540134762334E-2</v>
      </c>
      <c r="L548">
        <v>6.7902715423192511E-2</v>
      </c>
    </row>
    <row r="549" spans="1:12" x14ac:dyDescent="0.25">
      <c r="B549" s="2" t="s">
        <v>191</v>
      </c>
      <c r="C549" s="3">
        <v>45887</v>
      </c>
      <c r="D549" s="2">
        <v>0.53</v>
      </c>
      <c r="E549" s="2">
        <v>0.27</v>
      </c>
      <c r="F549" s="2">
        <v>0.2</v>
      </c>
      <c r="G549">
        <v>9.1593475533598506E-2</v>
      </c>
      <c r="H549" s="2">
        <v>3.6159700894645493E-2</v>
      </c>
      <c r="I549" s="2">
        <v>3.6155774452518476E-2</v>
      </c>
      <c r="J549" s="2">
        <v>0.26773322447954284</v>
      </c>
      <c r="K549">
        <v>3.6153251675330025E-2</v>
      </c>
      <c r="L549">
        <v>3.6167777409313012E-2</v>
      </c>
    </row>
    <row r="550" spans="1:12" x14ac:dyDescent="0.25">
      <c r="B550" s="2" t="s">
        <v>191</v>
      </c>
      <c r="C550" s="3">
        <v>45901</v>
      </c>
      <c r="D550" s="2">
        <v>0.67</v>
      </c>
      <c r="E550" s="2">
        <v>0.16</v>
      </c>
      <c r="F550" s="2">
        <v>0.17</v>
      </c>
      <c r="G550">
        <v>-6.7816091951424962E-2</v>
      </c>
      <c r="H550" s="2">
        <v>-1.8050293392441286E-2</v>
      </c>
      <c r="I550" s="2">
        <v>-3.2102967490167521E-2</v>
      </c>
      <c r="J550" s="2">
        <v>-0.10726095087123984</v>
      </c>
      <c r="K550">
        <v>-1.80436070866625E-2</v>
      </c>
      <c r="L550">
        <v>-1.9388408250913598E-2</v>
      </c>
    </row>
    <row r="551" spans="1:12" x14ac:dyDescent="0.25">
      <c r="B551" s="2" t="s">
        <v>191</v>
      </c>
      <c r="C551" s="3">
        <v>45915</v>
      </c>
      <c r="D551" s="2">
        <v>0.8</v>
      </c>
      <c r="E551" s="2">
        <v>7.0000000000000007E-2</v>
      </c>
      <c r="F551" s="2">
        <v>0.13</v>
      </c>
      <c r="G551">
        <v>2.8360049321961692E-2</v>
      </c>
      <c r="H551" s="2">
        <v>1.2257646811786812E-2</v>
      </c>
      <c r="I551" s="2">
        <v>1.2253716568959386E-2</v>
      </c>
      <c r="J551" s="2">
        <v>1.2263130150098498E-2</v>
      </c>
      <c r="K551">
        <v>1.2257044158654929E-2</v>
      </c>
      <c r="L551">
        <v>1.2254695527667871E-2</v>
      </c>
    </row>
    <row r="552" spans="1:12" x14ac:dyDescent="0.25">
      <c r="B552" s="2" t="s">
        <v>191</v>
      </c>
      <c r="C552" s="3">
        <v>45929</v>
      </c>
      <c r="D552" s="2">
        <v>0.57999999999999996</v>
      </c>
      <c r="E552" s="2">
        <v>0.04</v>
      </c>
      <c r="F552" s="2">
        <v>0.38</v>
      </c>
      <c r="G552">
        <v>-7.7937649880822663E-2</v>
      </c>
      <c r="H552" s="2">
        <v>-5.9323059370597266E-2</v>
      </c>
      <c r="I552" s="2">
        <v>-5.9321277070774649E-2</v>
      </c>
      <c r="J552" s="2">
        <v>-5.9325750308345908E-2</v>
      </c>
      <c r="K552">
        <v>-5.9330222231359031E-2</v>
      </c>
      <c r="L552">
        <v>-5.9325206972584046E-2</v>
      </c>
    </row>
    <row r="553" spans="1:12" x14ac:dyDescent="0.25">
      <c r="B553" s="2" t="s">
        <v>191</v>
      </c>
      <c r="C553" s="3">
        <v>45943</v>
      </c>
      <c r="D553" s="2">
        <v>0.66</v>
      </c>
      <c r="E553" s="2">
        <v>0.11</v>
      </c>
      <c r="F553" s="2">
        <v>0.23</v>
      </c>
      <c r="G553">
        <v>-2.730819246258475E-2</v>
      </c>
      <c r="H553" s="2">
        <v>-3.7323066886574455E-2</v>
      </c>
      <c r="I553" s="2">
        <v>-3.7324662378658086E-2</v>
      </c>
      <c r="J553" s="2">
        <v>5.5957809472472739E-2</v>
      </c>
      <c r="K553">
        <v>-3.7316694713377174E-2</v>
      </c>
      <c r="L553">
        <v>-3.7315908186281055E-2</v>
      </c>
    </row>
    <row r="554" spans="1:12" x14ac:dyDescent="0.25">
      <c r="A554" t="s">
        <v>192</v>
      </c>
      <c r="B554" s="2" t="s">
        <v>193</v>
      </c>
      <c r="C554" s="3">
        <v>45873</v>
      </c>
      <c r="D554" s="2">
        <v>0.52</v>
      </c>
      <c r="E554" s="2">
        <v>0.09</v>
      </c>
      <c r="F554" s="2">
        <v>0.39</v>
      </c>
      <c r="G554">
        <v>-4.3290043289946067E-2</v>
      </c>
      <c r="H554" s="2">
        <v>-2.5369800665851802E-2</v>
      </c>
      <c r="I554" s="2">
        <v>-2.5367006018336316E-2</v>
      </c>
      <c r="J554" s="2">
        <v>-2.5312895513992274E-2</v>
      </c>
      <c r="K554">
        <v>-2.5339587013461572E-2</v>
      </c>
      <c r="L554">
        <v>-2.5347823490774524E-2</v>
      </c>
    </row>
    <row r="555" spans="1:12" x14ac:dyDescent="0.25">
      <c r="B555" s="2" t="s">
        <v>193</v>
      </c>
      <c r="C555" s="3">
        <v>45887</v>
      </c>
      <c r="D555" s="2">
        <v>0.75</v>
      </c>
      <c r="E555" s="2">
        <v>0.1</v>
      </c>
      <c r="F555" s="2">
        <v>0.15</v>
      </c>
      <c r="G555">
        <v>-1.0180995474502777E-2</v>
      </c>
      <c r="H555" s="2">
        <v>-1.5825658321442584E-2</v>
      </c>
      <c r="I555" s="2">
        <v>-1.5826985226223344E-2</v>
      </c>
      <c r="J555" s="2">
        <v>-1.5870725725003618E-2</v>
      </c>
      <c r="K555">
        <v>-1.584275982751077E-2</v>
      </c>
      <c r="L555">
        <v>-1.5837034767958297E-2</v>
      </c>
    </row>
    <row r="556" spans="1:12" x14ac:dyDescent="0.25">
      <c r="B556" s="2" t="s">
        <v>193</v>
      </c>
      <c r="C556" s="3">
        <v>45901</v>
      </c>
      <c r="D556" s="2">
        <v>0.6</v>
      </c>
      <c r="E556" s="2">
        <v>0.08</v>
      </c>
      <c r="F556" s="2">
        <v>0.32</v>
      </c>
      <c r="G556">
        <v>-2.1714285719553868E-2</v>
      </c>
      <c r="H556" s="2">
        <v>-2.2992545728804867E-3</v>
      </c>
      <c r="I556" s="2">
        <v>-4.6910503554936636E-3</v>
      </c>
      <c r="J556" s="2">
        <v>-3.2253335288080956E-2</v>
      </c>
      <c r="K556">
        <v>-2.2860771551040148E-3</v>
      </c>
      <c r="L556">
        <v>-4.295318725099681E-3</v>
      </c>
    </row>
    <row r="557" spans="1:12" x14ac:dyDescent="0.25">
      <c r="B557" s="2" t="s">
        <v>193</v>
      </c>
      <c r="C557" s="3">
        <v>45915</v>
      </c>
      <c r="D557" s="2">
        <v>0.53</v>
      </c>
      <c r="E557" s="2">
        <v>0.11</v>
      </c>
      <c r="F557" s="2">
        <v>0.36</v>
      </c>
      <c r="G557">
        <v>-2.8037383180060597E-2</v>
      </c>
      <c r="H557" s="2">
        <v>-4.8395619880809072E-2</v>
      </c>
      <c r="I557" s="2">
        <v>-4.8383533397157376E-2</v>
      </c>
      <c r="J557" s="2">
        <v>-3.0601424026662619E-2</v>
      </c>
      <c r="K557">
        <v>-4.8404035260796202E-2</v>
      </c>
      <c r="L557">
        <v>-4.8390121913097793E-2</v>
      </c>
    </row>
    <row r="558" spans="1:12" x14ac:dyDescent="0.25">
      <c r="B558" s="2" t="s">
        <v>193</v>
      </c>
      <c r="C558" s="3">
        <v>45929</v>
      </c>
      <c r="D558" s="2">
        <v>0.43</v>
      </c>
      <c r="E558" s="2">
        <v>0.2</v>
      </c>
      <c r="F558" s="2">
        <v>0.37</v>
      </c>
      <c r="G558">
        <v>-4.8076922977463446E-3</v>
      </c>
      <c r="H558" s="2">
        <v>-1.8155455120393672E-2</v>
      </c>
      <c r="I558" s="2">
        <v>-1.8170561832533655E-2</v>
      </c>
      <c r="J558" s="2">
        <v>-1.8127832473824119E-2</v>
      </c>
      <c r="K558">
        <v>-1.8159320446792859E-2</v>
      </c>
      <c r="L558">
        <v>-1.8132842782997219E-2</v>
      </c>
    </row>
    <row r="559" spans="1:12" x14ac:dyDescent="0.25">
      <c r="B559" s="2" t="s">
        <v>193</v>
      </c>
      <c r="C559" s="3">
        <v>45943</v>
      </c>
      <c r="D559" s="2">
        <v>0.6</v>
      </c>
      <c r="E559" s="2">
        <v>0.21</v>
      </c>
      <c r="F559" s="2">
        <v>0.19</v>
      </c>
      <c r="G559">
        <v>7.0048309177140874E-2</v>
      </c>
      <c r="H559" s="2">
        <v>9.2471564129956718E-2</v>
      </c>
      <c r="I559" s="2">
        <v>9.2486915946780934E-2</v>
      </c>
      <c r="J559" s="2">
        <v>9.2471749164411976E-2</v>
      </c>
      <c r="K559">
        <v>9.2475901767771249E-2</v>
      </c>
      <c r="L559">
        <v>9.2472398795583874E-2</v>
      </c>
    </row>
    <row r="560" spans="1:12" x14ac:dyDescent="0.25">
      <c r="A560" t="s">
        <v>194</v>
      </c>
      <c r="B560" s="2" t="s">
        <v>195</v>
      </c>
      <c r="C560" s="3">
        <v>45873</v>
      </c>
      <c r="D560" s="2">
        <v>0.8</v>
      </c>
      <c r="E560" s="2">
        <v>0.04</v>
      </c>
      <c r="F560" s="2">
        <v>0.14000000000000001</v>
      </c>
      <c r="G560">
        <v>2.7705175119278683E-2</v>
      </c>
      <c r="H560" s="2">
        <v>2.100517444541215E-2</v>
      </c>
      <c r="I560" s="2">
        <v>2.1004118163031531E-2</v>
      </c>
      <c r="J560" s="2">
        <v>2.1008331771481065E-2</v>
      </c>
      <c r="K560">
        <v>2.0999782760867929E-2</v>
      </c>
      <c r="L560">
        <v>2.1003370911381023E-2</v>
      </c>
    </row>
    <row r="561" spans="1:12" x14ac:dyDescent="0.25">
      <c r="B561" s="2" t="s">
        <v>195</v>
      </c>
      <c r="C561" s="3">
        <v>45887</v>
      </c>
      <c r="D561" s="2">
        <v>0.73</v>
      </c>
      <c r="E561" s="2">
        <v>0.06</v>
      </c>
      <c r="F561" s="2">
        <v>0.21</v>
      </c>
      <c r="G561">
        <v>4.8321464905112264E-2</v>
      </c>
      <c r="H561" s="2">
        <v>6.5568880637373789E-2</v>
      </c>
      <c r="I561" s="2">
        <v>3.7777499497639741E-2</v>
      </c>
      <c r="J561" s="2">
        <v>2.2294906882050661E-2</v>
      </c>
      <c r="K561">
        <v>6.5568925979337625E-2</v>
      </c>
      <c r="L561">
        <v>4.832623839009282E-2</v>
      </c>
    </row>
    <row r="562" spans="1:12" x14ac:dyDescent="0.25">
      <c r="B562" s="2" t="s">
        <v>195</v>
      </c>
      <c r="C562" s="3">
        <v>45901</v>
      </c>
      <c r="D562" s="2">
        <v>0.76</v>
      </c>
      <c r="E562" s="2">
        <v>0.11</v>
      </c>
      <c r="F562" s="2">
        <v>0.13</v>
      </c>
      <c r="G562">
        <v>-9.2188258138608276E-3</v>
      </c>
      <c r="H562" s="2">
        <v>-1.9063789264943932E-2</v>
      </c>
      <c r="I562" s="2">
        <v>-1.9065471964439584E-2</v>
      </c>
      <c r="J562" s="2">
        <v>-1.9066274893894949E-2</v>
      </c>
      <c r="K562">
        <v>-1.9058184036829472E-2</v>
      </c>
      <c r="L562">
        <v>-1.9057726916155284E-2</v>
      </c>
    </row>
    <row r="563" spans="1:12" x14ac:dyDescent="0.25">
      <c r="B563" s="2" t="s">
        <v>195</v>
      </c>
      <c r="C563" s="3">
        <v>45915</v>
      </c>
      <c r="D563" s="2">
        <v>0.73</v>
      </c>
      <c r="E563" s="2">
        <v>0.1</v>
      </c>
      <c r="F563" s="2">
        <v>0.17</v>
      </c>
      <c r="G563">
        <v>-4.799216454355186E-2</v>
      </c>
      <c r="H563" s="2">
        <v>-4.551200674212455E-2</v>
      </c>
      <c r="I563" s="2">
        <v>-4.5509030000829669E-2</v>
      </c>
      <c r="J563" s="2">
        <v>-7.4219530053917281E-3</v>
      </c>
      <c r="K563">
        <v>-4.5517771721306818E-2</v>
      </c>
      <c r="L563">
        <v>-4.5512277730736718E-2</v>
      </c>
    </row>
    <row r="564" spans="1:12" x14ac:dyDescent="0.25">
      <c r="B564" s="2" t="s">
        <v>195</v>
      </c>
      <c r="C564" s="3">
        <v>45929</v>
      </c>
      <c r="D564" s="2">
        <v>0.69</v>
      </c>
      <c r="E564" s="2">
        <v>0.03</v>
      </c>
      <c r="F564" s="2">
        <v>0.28000000000000003</v>
      </c>
      <c r="G564">
        <v>5.1440329270788926E-4</v>
      </c>
      <c r="H564" s="2">
        <v>1.2372482124445864E-2</v>
      </c>
      <c r="I564" s="2">
        <v>1.2372283447575275E-2</v>
      </c>
      <c r="J564" s="2">
        <v>1.2373000704154563E-2</v>
      </c>
      <c r="K564">
        <v>1.2381223193763159E-2</v>
      </c>
      <c r="L564">
        <v>1.2370321086222678E-2</v>
      </c>
    </row>
    <row r="565" spans="1:12" x14ac:dyDescent="0.25">
      <c r="B565" s="2" t="s">
        <v>195</v>
      </c>
      <c r="C565" s="3">
        <v>45943</v>
      </c>
      <c r="D565" s="2">
        <v>0.8</v>
      </c>
      <c r="E565" s="2">
        <v>0.01</v>
      </c>
      <c r="F565" s="2">
        <v>0.19</v>
      </c>
      <c r="G565">
        <v>-7.7120822657117472E-3</v>
      </c>
      <c r="H565" s="2">
        <v>-1.7310712383286603E-2</v>
      </c>
      <c r="I565" s="2">
        <v>-1.7313197760652776E-2</v>
      </c>
      <c r="J565" s="2">
        <v>-1.7322469528351959E-2</v>
      </c>
      <c r="K565">
        <v>-1.7320678315213108E-2</v>
      </c>
      <c r="L565">
        <v>-1.7306428449723608E-2</v>
      </c>
    </row>
    <row r="566" spans="1:12" x14ac:dyDescent="0.25">
      <c r="A566" t="s">
        <v>196</v>
      </c>
      <c r="B566" s="2" t="s">
        <v>197</v>
      </c>
      <c r="C566" s="3">
        <v>45873</v>
      </c>
      <c r="D566" s="2">
        <v>0.5</v>
      </c>
      <c r="E566" s="2">
        <v>0.19</v>
      </c>
      <c r="F566" s="2">
        <v>0.31</v>
      </c>
      <c r="G566">
        <v>-3.8891848696292725E-2</v>
      </c>
      <c r="H566" s="2">
        <v>-2.7242083427867617E-2</v>
      </c>
      <c r="I566" s="2">
        <v>-2.7238567185730846E-2</v>
      </c>
      <c r="J566" s="2">
        <v>-2.723658051689859E-2</v>
      </c>
      <c r="K566">
        <v>-2.7255611875452591E-2</v>
      </c>
      <c r="L566">
        <v>-2.7234514565940848E-2</v>
      </c>
    </row>
    <row r="567" spans="1:12" x14ac:dyDescent="0.25">
      <c r="B567" s="2" t="s">
        <v>197</v>
      </c>
      <c r="C567" s="3">
        <v>45887</v>
      </c>
      <c r="D567" s="2">
        <v>0.44</v>
      </c>
      <c r="E567" s="2">
        <v>0.13</v>
      </c>
      <c r="F567" s="2">
        <v>0.43</v>
      </c>
      <c r="G567">
        <v>8.869179601437965E-3</v>
      </c>
      <c r="H567" s="2">
        <v>1.4277384423156887E-2</v>
      </c>
      <c r="I567" s="2">
        <v>-7.7256549095018534E-3</v>
      </c>
      <c r="J567" s="2">
        <v>1.5736766809728152E-2</v>
      </c>
      <c r="K567">
        <v>1.429252024773703E-2</v>
      </c>
      <c r="L567">
        <v>-7.4118529632408604E-3</v>
      </c>
    </row>
    <row r="568" spans="1:12" x14ac:dyDescent="0.25">
      <c r="B568" s="2" t="s">
        <v>197</v>
      </c>
      <c r="C568" s="3">
        <v>45901</v>
      </c>
      <c r="D568" s="2">
        <v>0.47</v>
      </c>
      <c r="E568" s="2">
        <v>0.16</v>
      </c>
      <c r="F568" s="2">
        <v>0.37</v>
      </c>
      <c r="G568">
        <v>-7.1428571392459827E-3</v>
      </c>
      <c r="H568" s="2">
        <v>-1.2466738937617006E-2</v>
      </c>
      <c r="I568" s="2">
        <v>-1.2460688482788029E-2</v>
      </c>
      <c r="J568" s="2">
        <v>-1.2474849094567371E-2</v>
      </c>
      <c r="K568">
        <v>-1.2447158290277188E-2</v>
      </c>
      <c r="L568">
        <v>-1.2425176854706963E-2</v>
      </c>
    </row>
    <row r="569" spans="1:12" x14ac:dyDescent="0.25">
      <c r="B569" s="2" t="s">
        <v>197</v>
      </c>
      <c r="C569" s="3">
        <v>45915</v>
      </c>
      <c r="D569" s="2">
        <v>0.54</v>
      </c>
      <c r="E569" s="2">
        <v>0.1</v>
      </c>
      <c r="F569" s="2">
        <v>0.36</v>
      </c>
      <c r="G569">
        <v>-3.6524626453168021E-2</v>
      </c>
      <c r="H569" s="2">
        <v>-4.8783327511933781E-2</v>
      </c>
      <c r="I569" s="2">
        <v>-4.8784686359567488E-2</v>
      </c>
      <c r="J569" s="2">
        <v>-4.8797881010594998E-2</v>
      </c>
      <c r="K569">
        <v>-4.881093935790716E-2</v>
      </c>
      <c r="L569">
        <v>-4.8795420454893379E-2</v>
      </c>
    </row>
    <row r="570" spans="1:12" x14ac:dyDescent="0.25">
      <c r="B570" s="2" t="s">
        <v>197</v>
      </c>
      <c r="C570" s="3">
        <v>45929</v>
      </c>
      <c r="D570" s="2">
        <v>0.62</v>
      </c>
      <c r="E570" s="2">
        <v>7.0000000000000007E-2</v>
      </c>
      <c r="F570" s="2">
        <v>0.31</v>
      </c>
      <c r="G570">
        <v>2.6421596786695863E-2</v>
      </c>
      <c r="H570" s="2">
        <v>8.0608497989158989E-3</v>
      </c>
      <c r="I570" s="2">
        <v>8.0712295052300063E-3</v>
      </c>
      <c r="J570" s="2">
        <v>8.0325586376781225E-3</v>
      </c>
      <c r="K570">
        <v>8.0630039377460536E-3</v>
      </c>
      <c r="L570">
        <v>8.0455701090979027E-3</v>
      </c>
    </row>
    <row r="571" spans="1:12" x14ac:dyDescent="0.25">
      <c r="B571" s="2" t="s">
        <v>197</v>
      </c>
      <c r="C571" s="3">
        <v>45943</v>
      </c>
      <c r="D571" s="2">
        <v>0.55000000000000004</v>
      </c>
      <c r="E571" s="2">
        <v>0.11</v>
      </c>
      <c r="F571" s="2">
        <v>0.34</v>
      </c>
      <c r="G571">
        <v>2.0705092323937201E-2</v>
      </c>
      <c r="H571" s="2">
        <v>4.2878701150023311E-2</v>
      </c>
      <c r="I571" s="2">
        <v>4.286945282205936E-2</v>
      </c>
      <c r="J571" s="2">
        <v>4.292392690182744E-2</v>
      </c>
      <c r="K571">
        <v>4.290674603174599E-2</v>
      </c>
      <c r="L571">
        <v>4.2907767455224691E-2</v>
      </c>
    </row>
    <row r="572" spans="1:12" x14ac:dyDescent="0.25">
      <c r="A572" t="s">
        <v>198</v>
      </c>
      <c r="B572" s="2" t="s">
        <v>199</v>
      </c>
      <c r="C572" s="3">
        <v>45873</v>
      </c>
      <c r="D572" s="2">
        <v>0.63</v>
      </c>
      <c r="E572" s="2">
        <v>0.09</v>
      </c>
      <c r="F572" s="2">
        <v>0.28000000000000003</v>
      </c>
      <c r="G572">
        <v>3.1543052007839974E-2</v>
      </c>
      <c r="H572" s="2">
        <v>3.1199379363847993E-2</v>
      </c>
      <c r="I572" s="2">
        <v>3.1196142599872183E-2</v>
      </c>
      <c r="J572" s="2">
        <v>3.1278195488721697E-2</v>
      </c>
      <c r="K572">
        <v>3.1199530171780929E-2</v>
      </c>
      <c r="L572">
        <v>3.1205267678213629E-2</v>
      </c>
    </row>
    <row r="573" spans="1:12" x14ac:dyDescent="0.25">
      <c r="B573" s="2" t="s">
        <v>199</v>
      </c>
      <c r="C573" s="3">
        <v>45887</v>
      </c>
      <c r="D573" s="2">
        <v>0.76</v>
      </c>
      <c r="E573" s="2">
        <v>0.09</v>
      </c>
      <c r="F573" s="2">
        <v>0.15</v>
      </c>
      <c r="G573">
        <v>4.545454540066992E-3</v>
      </c>
      <c r="H573" s="2">
        <v>9.1121382830178909E-3</v>
      </c>
      <c r="I573" s="2">
        <v>-7.5659130173514624E-2</v>
      </c>
      <c r="J573" s="2">
        <v>-4.9577136191308819E-3</v>
      </c>
      <c r="K573">
        <v>9.1122659642627769E-3</v>
      </c>
      <c r="L573">
        <v>3.2343142698500811E-2</v>
      </c>
    </row>
    <row r="574" spans="1:12" x14ac:dyDescent="0.25">
      <c r="B574" s="2" t="s">
        <v>199</v>
      </c>
      <c r="C574" s="3">
        <v>45901</v>
      </c>
      <c r="D574" s="2">
        <v>0.7</v>
      </c>
      <c r="E574" s="2">
        <v>0.04</v>
      </c>
      <c r="F574" s="2">
        <v>0.26</v>
      </c>
      <c r="G574">
        <v>-2.1390374331011097E-2</v>
      </c>
      <c r="H574" s="2">
        <v>-2.1763506017916493E-2</v>
      </c>
      <c r="I574" s="2">
        <v>-2.1764893105526588E-2</v>
      </c>
      <c r="J574" s="2">
        <v>-2.1688159437280238E-2</v>
      </c>
      <c r="K574">
        <v>-2.1728395061728353E-2</v>
      </c>
      <c r="L574">
        <v>-2.1782977006857593E-2</v>
      </c>
    </row>
    <row r="575" spans="1:12" x14ac:dyDescent="0.25">
      <c r="B575" s="2" t="s">
        <v>199</v>
      </c>
      <c r="C575" s="3">
        <v>45915</v>
      </c>
      <c r="D575" s="2">
        <v>0.74</v>
      </c>
      <c r="E575" s="2">
        <v>0.05</v>
      </c>
      <c r="F575" s="2">
        <v>0.21</v>
      </c>
      <c r="G575">
        <v>-1.8495166030181441E-2</v>
      </c>
      <c r="H575" s="2">
        <v>-2.7289854100489661E-2</v>
      </c>
      <c r="I575" s="2">
        <v>-2.728877505105394E-2</v>
      </c>
      <c r="J575" s="2">
        <v>-2.7411623726782481E-2</v>
      </c>
      <c r="K575">
        <v>-2.7331073772265121E-2</v>
      </c>
      <c r="L575">
        <v>-2.7285223367697641E-2</v>
      </c>
    </row>
    <row r="576" spans="1:12" x14ac:dyDescent="0.25">
      <c r="B576" s="2" t="s">
        <v>199</v>
      </c>
      <c r="C576" s="3">
        <v>45929</v>
      </c>
      <c r="D576" s="2">
        <v>0.81</v>
      </c>
      <c r="E576" s="2">
        <v>0.13</v>
      </c>
      <c r="F576" s="2">
        <v>0.06</v>
      </c>
      <c r="G576">
        <v>2.0128479656280087E-2</v>
      </c>
      <c r="H576" s="2">
        <v>4.0572642768943491E-2</v>
      </c>
      <c r="I576" s="2">
        <v>4.0565641613231535E-2</v>
      </c>
      <c r="J576" s="2">
        <v>4.7589711997535866E-2</v>
      </c>
      <c r="K576">
        <v>4.0628706998813734E-2</v>
      </c>
      <c r="L576">
        <v>4.0556772415742175E-2</v>
      </c>
    </row>
    <row r="577" spans="1:12" x14ac:dyDescent="0.25">
      <c r="B577" s="2" t="s">
        <v>199</v>
      </c>
      <c r="C577" s="3">
        <v>45943</v>
      </c>
      <c r="D577" s="2">
        <v>0.75</v>
      </c>
      <c r="E577" s="2">
        <v>0.1</v>
      </c>
      <c r="F577" s="2">
        <v>0.15</v>
      </c>
      <c r="G577">
        <v>-2.0570948784797285E-2</v>
      </c>
      <c r="H577" s="2">
        <v>-3.2352693146361286E-2</v>
      </c>
      <c r="I577" s="2">
        <v>-3.2350064631735821E-2</v>
      </c>
      <c r="J577" s="2">
        <v>-3.2343428403410791E-2</v>
      </c>
      <c r="K577">
        <v>-3.2345397549159223E-2</v>
      </c>
      <c r="L577">
        <v>-3.232158620221353E-2</v>
      </c>
    </row>
    <row r="578" spans="1:12" x14ac:dyDescent="0.25">
      <c r="A578" t="s">
        <v>200</v>
      </c>
      <c r="B578" s="2" t="s">
        <v>201</v>
      </c>
      <c r="C578" s="3">
        <v>45873</v>
      </c>
      <c r="D578" s="2">
        <v>0.8</v>
      </c>
      <c r="E578" s="2">
        <v>0.01</v>
      </c>
      <c r="F578" s="2">
        <v>0.19</v>
      </c>
      <c r="G578">
        <v>2.0255063778393704E-2</v>
      </c>
      <c r="H578" s="2">
        <v>8.9525624114514275E-3</v>
      </c>
      <c r="I578" s="2">
        <v>8.9568402963881091E-3</v>
      </c>
      <c r="J578" s="2">
        <v>9.0055929471988469E-3</v>
      </c>
      <c r="K578">
        <v>8.9543616406701082E-3</v>
      </c>
      <c r="L578">
        <v>9.0817356205852278E-3</v>
      </c>
    </row>
    <row r="579" spans="1:12" x14ac:dyDescent="0.25">
      <c r="B579" s="2" t="s">
        <v>201</v>
      </c>
      <c r="C579" s="3">
        <v>45887</v>
      </c>
      <c r="D579" s="2">
        <v>0.78</v>
      </c>
      <c r="E579" s="2">
        <v>0.05</v>
      </c>
      <c r="F579" s="2">
        <v>0.17</v>
      </c>
      <c r="G579">
        <v>8.2352941168424107E-2</v>
      </c>
      <c r="H579" s="2">
        <v>4.7337457177789338E-2</v>
      </c>
      <c r="I579" s="2">
        <v>-8.5443592552026382E-2</v>
      </c>
      <c r="J579" s="2">
        <v>4.7256670424652397E-2</v>
      </c>
      <c r="K579">
        <v>4.7380475236186687E-2</v>
      </c>
      <c r="L579">
        <v>3.8857142857142861E-2</v>
      </c>
    </row>
    <row r="580" spans="1:12" x14ac:dyDescent="0.25">
      <c r="B580" s="2" t="s">
        <v>201</v>
      </c>
      <c r="C580" s="3">
        <v>45901</v>
      </c>
      <c r="D580" s="2">
        <v>0.87</v>
      </c>
      <c r="E580" s="2">
        <v>0.05</v>
      </c>
      <c r="F580" s="2">
        <v>0.08</v>
      </c>
      <c r="G580">
        <v>9.5108695660394236E-3</v>
      </c>
      <c r="H580" s="2">
        <v>4.7318812522032579E-2</v>
      </c>
      <c r="I580" s="2">
        <v>4.734787242961E-2</v>
      </c>
      <c r="J580" s="2">
        <v>1.4174217278191474E-2</v>
      </c>
      <c r="K580">
        <v>4.7287139538061997E-2</v>
      </c>
      <c r="L580">
        <v>4.7854785478547927E-2</v>
      </c>
    </row>
    <row r="581" spans="1:12" x14ac:dyDescent="0.25">
      <c r="B581" s="2" t="s">
        <v>201</v>
      </c>
      <c r="C581" s="3">
        <v>45915</v>
      </c>
      <c r="D581" s="2">
        <v>0.86</v>
      </c>
      <c r="E581" s="2">
        <v>0.04</v>
      </c>
      <c r="F581" s="2">
        <v>0.1</v>
      </c>
      <c r="G581">
        <v>0.14064602960460873</v>
      </c>
      <c r="H581" s="2">
        <v>9.1708189177109517E-2</v>
      </c>
      <c r="I581" s="2">
        <v>9.1706926617306492E-2</v>
      </c>
      <c r="J581" s="2">
        <v>9.1640866873064941E-2</v>
      </c>
      <c r="K581">
        <v>9.1739527600156634E-2</v>
      </c>
      <c r="L581">
        <v>9.1732283464566883E-2</v>
      </c>
    </row>
    <row r="582" spans="1:12" x14ac:dyDescent="0.25">
      <c r="B582" s="2" t="s">
        <v>201</v>
      </c>
      <c r="C582" s="3">
        <v>45929</v>
      </c>
      <c r="D582" s="2">
        <v>0.9</v>
      </c>
      <c r="E582" s="2">
        <v>0.03</v>
      </c>
      <c r="F582" s="2">
        <v>7.0000000000000007E-2</v>
      </c>
      <c r="G582">
        <v>0.16283185840840234</v>
      </c>
      <c r="H582" s="2">
        <v>0.21247226392111063</v>
      </c>
      <c r="I582" s="2">
        <v>0.21247479640734235</v>
      </c>
      <c r="J582" s="2">
        <v>0.21254355400696862</v>
      </c>
      <c r="K582">
        <v>0.21252689457327273</v>
      </c>
      <c r="L582">
        <v>0.21240533717994947</v>
      </c>
    </row>
    <row r="583" spans="1:12" x14ac:dyDescent="0.25">
      <c r="B583" s="2" t="s">
        <v>201</v>
      </c>
      <c r="C583" s="3">
        <v>45943</v>
      </c>
      <c r="D583" s="2">
        <v>0.74</v>
      </c>
      <c r="E583" s="2">
        <v>7.0000000000000007E-2</v>
      </c>
      <c r="F583" s="2">
        <v>0.19</v>
      </c>
      <c r="G583">
        <v>-3.6022323689588097E-2</v>
      </c>
      <c r="H583" s="2">
        <v>-3.2090510413366462E-2</v>
      </c>
      <c r="I583" s="2">
        <v>-3.2092814319528609E-2</v>
      </c>
      <c r="J583" s="2">
        <v>-3.2143811815022745E-2</v>
      </c>
      <c r="K583">
        <v>-3.2137223974763374E-2</v>
      </c>
      <c r="L583">
        <v>-3.2024588538568308E-2</v>
      </c>
    </row>
    <row r="584" spans="1:12" x14ac:dyDescent="0.25">
      <c r="A584" t="s">
        <v>202</v>
      </c>
      <c r="B584" s="2" t="s">
        <v>203</v>
      </c>
      <c r="C584" s="3">
        <v>45873</v>
      </c>
      <c r="D584" s="2">
        <v>0.75</v>
      </c>
      <c r="E584" s="2">
        <v>0.05</v>
      </c>
      <c r="F584" s="2">
        <v>0.2</v>
      </c>
      <c r="G584">
        <v>7.0346472156750564E-2</v>
      </c>
      <c r="H584" s="2">
        <v>0.11695132983535363</v>
      </c>
      <c r="I584" s="2">
        <v>5.289584149699661E-2</v>
      </c>
      <c r="J584" s="2">
        <v>7.8765378639292921E-2</v>
      </c>
      <c r="K584">
        <v>0.11695001101709222</v>
      </c>
      <c r="L584">
        <v>2.5107898883332199E-2</v>
      </c>
    </row>
    <row r="585" spans="1:12" x14ac:dyDescent="0.25">
      <c r="B585" s="2" t="s">
        <v>203</v>
      </c>
      <c r="C585" s="3">
        <v>45887</v>
      </c>
      <c r="D585" s="2">
        <v>0.82</v>
      </c>
      <c r="E585" s="2">
        <v>7.0000000000000007E-2</v>
      </c>
      <c r="F585" s="2">
        <v>0.11</v>
      </c>
      <c r="G585">
        <v>0.36924185832878892</v>
      </c>
      <c r="H585" s="2">
        <v>0.26426593276411625</v>
      </c>
      <c r="I585" s="2">
        <v>0.26426591773904423</v>
      </c>
      <c r="J585" s="2">
        <v>0.26426610784805649</v>
      </c>
      <c r="K585">
        <v>0.26426627998134883</v>
      </c>
      <c r="L585">
        <v>0.26426729283681211</v>
      </c>
    </row>
    <row r="586" spans="1:12" x14ac:dyDescent="0.25">
      <c r="B586" s="2" t="s">
        <v>203</v>
      </c>
      <c r="C586" s="3">
        <v>45901</v>
      </c>
      <c r="D586" s="2">
        <v>0.81</v>
      </c>
      <c r="E586" s="2">
        <v>0.06</v>
      </c>
      <c r="F586" s="2">
        <v>0.13</v>
      </c>
      <c r="G586">
        <v>0.10786753445820589</v>
      </c>
      <c r="H586" s="2">
        <v>0.13109186561102079</v>
      </c>
      <c r="I586" s="2">
        <v>0.13109210996558723</v>
      </c>
      <c r="J586" s="2">
        <v>0.1310902868242029</v>
      </c>
      <c r="K586">
        <v>0.1310924948731042</v>
      </c>
      <c r="L586">
        <v>0.13109302655258487</v>
      </c>
    </row>
    <row r="587" spans="1:12" x14ac:dyDescent="0.25">
      <c r="B587" s="2" t="s">
        <v>203</v>
      </c>
      <c r="C587" s="3">
        <v>45915</v>
      </c>
      <c r="D587" s="2">
        <v>0.82</v>
      </c>
      <c r="E587" s="2">
        <v>0.06</v>
      </c>
      <c r="F587" s="2">
        <v>0.12</v>
      </c>
      <c r="G587">
        <v>0.10514038876705389</v>
      </c>
      <c r="H587" s="2">
        <v>0.17762025626173836</v>
      </c>
      <c r="I587" s="2">
        <v>0.17762001849437919</v>
      </c>
      <c r="J587" s="2">
        <v>0.17762302424365001</v>
      </c>
      <c r="K587">
        <v>0.17762067624922306</v>
      </c>
      <c r="L587">
        <v>0.17761968590747165</v>
      </c>
    </row>
    <row r="588" spans="1:12" x14ac:dyDescent="0.25">
      <c r="B588" s="2" t="s">
        <v>203</v>
      </c>
      <c r="C588" s="3">
        <v>45929</v>
      </c>
      <c r="D588" s="2">
        <v>0.67</v>
      </c>
      <c r="E588" s="2">
        <v>7.0000000000000007E-2</v>
      </c>
      <c r="F588" s="2">
        <v>0.26</v>
      </c>
      <c r="G588">
        <v>-4.6278924326999128E-2</v>
      </c>
      <c r="H588" s="2">
        <v>-6.7966036861054929E-2</v>
      </c>
      <c r="I588" s="2">
        <v>-6.7965794396272317E-2</v>
      </c>
      <c r="J588" s="2">
        <v>-6.7968788339794875E-2</v>
      </c>
      <c r="K588">
        <v>-6.7966511944914917E-2</v>
      </c>
      <c r="L588">
        <v>-6.796568344493191E-2</v>
      </c>
    </row>
    <row r="589" spans="1:12" x14ac:dyDescent="0.25">
      <c r="B589" s="2" t="s">
        <v>203</v>
      </c>
      <c r="C589" s="3">
        <v>45943</v>
      </c>
      <c r="D589" s="2">
        <v>0.77</v>
      </c>
      <c r="E589" s="2">
        <v>0.04</v>
      </c>
      <c r="F589" s="2">
        <v>0.19</v>
      </c>
      <c r="G589">
        <v>2.0532786885404532E-2</v>
      </c>
      <c r="H589" s="2">
        <v>0</v>
      </c>
      <c r="I589" s="2">
        <v>0</v>
      </c>
      <c r="J589" s="2">
        <v>0</v>
      </c>
      <c r="K589">
        <v>0</v>
      </c>
      <c r="L589">
        <v>0</v>
      </c>
    </row>
    <row r="590" spans="1:12" x14ac:dyDescent="0.25">
      <c r="A590" t="s">
        <v>204</v>
      </c>
      <c r="B590" s="2" t="s">
        <v>205</v>
      </c>
      <c r="C590" s="3">
        <v>45873</v>
      </c>
      <c r="D590" s="2">
        <v>0.72</v>
      </c>
      <c r="E590" s="2">
        <v>0.11</v>
      </c>
      <c r="F590" s="2">
        <v>0.17</v>
      </c>
      <c r="G590">
        <v>3.7128712871287903E-3</v>
      </c>
      <c r="H590" s="2">
        <v>3.7143031114899804E-3</v>
      </c>
      <c r="I590" s="2">
        <v>3.7241406204301078E-3</v>
      </c>
      <c r="J590" s="2">
        <v>3.8694074969771366E-3</v>
      </c>
      <c r="K590">
        <v>2.9239766081872185E-3</v>
      </c>
      <c r="L590">
        <v>3.8350910834132079E-3</v>
      </c>
    </row>
    <row r="591" spans="1:12" x14ac:dyDescent="0.25">
      <c r="B591" s="2" t="s">
        <v>205</v>
      </c>
      <c r="C591" s="3">
        <v>45887</v>
      </c>
      <c r="D591" s="2">
        <v>0.75</v>
      </c>
      <c r="E591" s="2">
        <v>0.11</v>
      </c>
      <c r="F591" s="2">
        <v>0.14000000000000001</v>
      </c>
      <c r="G591">
        <v>-2.4660912453761301E-3</v>
      </c>
      <c r="H591" s="2">
        <v>4.9542991183369215E-3</v>
      </c>
      <c r="I591" s="2">
        <v>4.9535723998601492E-3</v>
      </c>
      <c r="J591" s="2">
        <v>4.818116116598414E-3</v>
      </c>
      <c r="K591">
        <v>5.8309037900873602E-3</v>
      </c>
      <c r="L591">
        <v>4.7755491881566418E-3</v>
      </c>
    </row>
    <row r="592" spans="1:12" x14ac:dyDescent="0.25">
      <c r="B592" s="2" t="s">
        <v>205</v>
      </c>
      <c r="C592" s="3">
        <v>45901</v>
      </c>
      <c r="D592" s="2">
        <v>0.77</v>
      </c>
      <c r="E592" s="2">
        <v>0.1</v>
      </c>
      <c r="F592" s="2">
        <v>0.13</v>
      </c>
      <c r="G592">
        <v>-8.6526576019777604E-3</v>
      </c>
      <c r="H592" s="2">
        <v>-1.3542064913374948E-2</v>
      </c>
      <c r="I592" s="2">
        <v>1.7783619739817668E-3</v>
      </c>
      <c r="J592" s="2">
        <v>-2.9968832414289163E-2</v>
      </c>
      <c r="K592">
        <v>-1.3526570048309164E-2</v>
      </c>
      <c r="L592">
        <v>-4.7528517110266202E-3</v>
      </c>
    </row>
    <row r="593" spans="1:12" x14ac:dyDescent="0.25">
      <c r="B593" s="2" t="s">
        <v>205</v>
      </c>
      <c r="C593" s="3">
        <v>45915</v>
      </c>
      <c r="D593" s="2">
        <v>0.83</v>
      </c>
      <c r="E593" s="2">
        <v>7.0000000000000007E-2</v>
      </c>
      <c r="F593" s="2">
        <v>0.1</v>
      </c>
      <c r="G593">
        <v>-2.4937655860349135E-2</v>
      </c>
      <c r="H593" s="2">
        <v>-2.741514360313322E-2</v>
      </c>
      <c r="I593" s="2">
        <v>-2.7419199228171754E-2</v>
      </c>
      <c r="J593" s="2">
        <v>-2.743450321304992E-2</v>
      </c>
      <c r="K593">
        <v>-2.7424094025465202E-2</v>
      </c>
      <c r="L593">
        <v>-2.7698185291308498E-2</v>
      </c>
    </row>
    <row r="594" spans="1:12" x14ac:dyDescent="0.25">
      <c r="B594" s="2" t="s">
        <v>205</v>
      </c>
      <c r="C594" s="3">
        <v>45929</v>
      </c>
      <c r="D594" s="2">
        <v>0.83</v>
      </c>
      <c r="E594" s="2">
        <v>0.06</v>
      </c>
      <c r="F594" s="2">
        <v>0.11</v>
      </c>
      <c r="G594">
        <v>3.3248081841432214E-2</v>
      </c>
      <c r="H594" s="2">
        <v>4.3582214765100623E-2</v>
      </c>
      <c r="I594" s="2">
        <v>4.3587810491230942E-2</v>
      </c>
      <c r="J594" s="2">
        <v>4.345616264294791E-2</v>
      </c>
      <c r="K594">
        <v>4.3303121852970777E-2</v>
      </c>
      <c r="L594">
        <v>4.4204322200392963E-2</v>
      </c>
    </row>
    <row r="595" spans="1:12" x14ac:dyDescent="0.25">
      <c r="B595" s="2" t="s">
        <v>205</v>
      </c>
      <c r="C595" s="3">
        <v>45943</v>
      </c>
      <c r="D595" s="2">
        <v>0.82</v>
      </c>
      <c r="E595" s="2">
        <v>0.1</v>
      </c>
      <c r="F595" s="2">
        <v>0.08</v>
      </c>
      <c r="G595">
        <v>1.2376237623762634E-3</v>
      </c>
      <c r="H595" s="2">
        <v>-6.1497648619316973E-3</v>
      </c>
      <c r="I595" s="2">
        <v>-6.1405676698162038E-3</v>
      </c>
      <c r="J595" s="2">
        <v>-6.0886507549926987E-3</v>
      </c>
      <c r="K595">
        <v>-6.7567567567566825E-3</v>
      </c>
      <c r="L595">
        <v>-6.5851364063970472E-3</v>
      </c>
    </row>
    <row r="596" spans="1:12" x14ac:dyDescent="0.25">
      <c r="A596" t="s">
        <v>206</v>
      </c>
      <c r="B596" s="2" t="s">
        <v>207</v>
      </c>
      <c r="C596" s="3">
        <v>45873</v>
      </c>
      <c r="D596" s="2">
        <v>0.52</v>
      </c>
      <c r="E596" s="2">
        <v>0.12</v>
      </c>
      <c r="F596" s="2">
        <v>0.36</v>
      </c>
      <c r="G596">
        <v>6.3430777715146644E-2</v>
      </c>
      <c r="H596" s="2">
        <v>6.5595532587131619E-2</v>
      </c>
      <c r="I596" s="2">
        <v>6.5590891405402002E-2</v>
      </c>
      <c r="J596" s="2">
        <v>6.5591951518992345E-2</v>
      </c>
      <c r="K596">
        <v>6.5595141571676174E-2</v>
      </c>
      <c r="L596">
        <v>6.5594362245314092E-2</v>
      </c>
    </row>
    <row r="597" spans="1:12" x14ac:dyDescent="0.25">
      <c r="B597" s="2" t="s">
        <v>207</v>
      </c>
      <c r="C597" s="3">
        <v>45887</v>
      </c>
      <c r="D597" s="2">
        <v>0.65</v>
      </c>
      <c r="E597" s="2">
        <v>0.09</v>
      </c>
      <c r="F597" s="2">
        <v>0.26</v>
      </c>
      <c r="G597">
        <v>4.0456431535656222E-2</v>
      </c>
      <c r="H597" s="2">
        <v>5.790305972344819E-2</v>
      </c>
      <c r="I597" s="2">
        <v>5.7902221538934651E-2</v>
      </c>
      <c r="J597" s="2">
        <v>5.7911757053116644E-2</v>
      </c>
      <c r="K597">
        <v>5.7902039476628774E-2</v>
      </c>
      <c r="L597">
        <v>5.7897798597716016E-2</v>
      </c>
    </row>
    <row r="598" spans="1:12" x14ac:dyDescent="0.25">
      <c r="B598" s="2" t="s">
        <v>207</v>
      </c>
      <c r="C598" s="3">
        <v>45901</v>
      </c>
      <c r="D598" s="2">
        <v>0.76</v>
      </c>
      <c r="E598" s="2">
        <v>0.02</v>
      </c>
      <c r="F598" s="2">
        <v>0.22</v>
      </c>
      <c r="G598">
        <v>1.8943170492573189E-2</v>
      </c>
      <c r="H598" s="2">
        <v>-9.8639041941148489E-4</v>
      </c>
      <c r="I598" s="2">
        <v>-1.9573470907736784E-2</v>
      </c>
      <c r="J598" s="2">
        <v>-3.6049330663012476E-2</v>
      </c>
      <c r="K598">
        <v>-9.8719467478982259E-4</v>
      </c>
      <c r="L598">
        <v>5.6943158138457906E-2</v>
      </c>
    </row>
    <row r="599" spans="1:12" x14ac:dyDescent="0.25">
      <c r="B599" s="2" t="s">
        <v>207</v>
      </c>
      <c r="C599" s="3">
        <v>45915</v>
      </c>
      <c r="D599" s="2">
        <v>0.54</v>
      </c>
      <c r="E599" s="2">
        <v>0.19</v>
      </c>
      <c r="F599" s="2">
        <v>0.27</v>
      </c>
      <c r="G599">
        <v>-1.1252446179981664E-2</v>
      </c>
      <c r="H599" s="2">
        <v>-3.307018116178425E-2</v>
      </c>
      <c r="I599" s="2">
        <v>-3.3068378681341028E-2</v>
      </c>
      <c r="J599" s="2">
        <v>-3.3096409695644327E-2</v>
      </c>
      <c r="K599">
        <v>-3.3075467969169117E-2</v>
      </c>
      <c r="L599">
        <v>-3.3078218486014326E-2</v>
      </c>
    </row>
    <row r="600" spans="1:12" x14ac:dyDescent="0.25">
      <c r="B600" s="2" t="s">
        <v>207</v>
      </c>
      <c r="C600" s="3">
        <v>45929</v>
      </c>
      <c r="D600" s="2">
        <v>0.7</v>
      </c>
      <c r="E600" s="2">
        <v>0.06</v>
      </c>
      <c r="F600" s="2">
        <v>0.24</v>
      </c>
      <c r="G600">
        <v>9.302325581286626E-2</v>
      </c>
      <c r="H600" s="2">
        <v>0.12250901926208499</v>
      </c>
      <c r="I600" s="2">
        <v>0.12250714980335037</v>
      </c>
      <c r="J600" s="2">
        <v>0.1225166811173522</v>
      </c>
      <c r="K600">
        <v>0.12251989196291699</v>
      </c>
      <c r="L600">
        <v>0.12252382368350261</v>
      </c>
    </row>
    <row r="601" spans="1:12" x14ac:dyDescent="0.25">
      <c r="B601" s="2" t="s">
        <v>207</v>
      </c>
      <c r="C601" s="3">
        <v>45943</v>
      </c>
      <c r="D601" s="2">
        <v>0.73</v>
      </c>
      <c r="E601" s="2">
        <v>7.0000000000000007E-2</v>
      </c>
      <c r="F601" s="2">
        <v>0.2</v>
      </c>
      <c r="G601">
        <v>5.1154368489571625E-2</v>
      </c>
      <c r="H601" s="2">
        <v>5.5935816876121987E-2</v>
      </c>
      <c r="I601" s="2">
        <v>5.5936326391259845E-2</v>
      </c>
      <c r="J601" s="2">
        <v>5.5949222554320402E-2</v>
      </c>
      <c r="K601">
        <v>5.5939235501450232E-2</v>
      </c>
      <c r="L601">
        <v>5.5931177153236852E-2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DC6F-469B-48B0-97CB-82AF579190A4}">
  <dimension ref="A1:F601"/>
  <sheetViews>
    <sheetView workbookViewId="0">
      <selection activeCell="G20" sqref="G20"/>
    </sheetView>
  </sheetViews>
  <sheetFormatPr defaultRowHeight="14.4" x14ac:dyDescent="0.25"/>
  <cols>
    <col min="3" max="3" width="12.88671875" customWidth="1"/>
  </cols>
  <sheetData>
    <row r="1" spans="1:6" x14ac:dyDescent="0.25">
      <c r="A1" s="1" t="s">
        <v>0</v>
      </c>
      <c r="B1" s="1" t="s">
        <v>1</v>
      </c>
      <c r="C1" s="1" t="s">
        <v>214</v>
      </c>
      <c r="D1" s="1" t="s">
        <v>5</v>
      </c>
      <c r="E1" s="1"/>
      <c r="F1" s="1"/>
    </row>
    <row r="2" spans="1:6" x14ac:dyDescent="0.25">
      <c r="A2" t="s">
        <v>6</v>
      </c>
      <c r="B2" s="2" t="s">
        <v>7</v>
      </c>
      <c r="C2" s="3">
        <v>45873</v>
      </c>
      <c r="D2" s="2">
        <v>1897</v>
      </c>
      <c r="E2" s="2"/>
      <c r="F2" s="2"/>
    </row>
    <row r="3" spans="1:6" x14ac:dyDescent="0.25">
      <c r="B3" s="2" t="s">
        <v>7</v>
      </c>
      <c r="C3" s="3">
        <v>45887</v>
      </c>
      <c r="D3" s="2">
        <v>356</v>
      </c>
      <c r="E3" s="2"/>
      <c r="F3" s="2"/>
    </row>
    <row r="4" spans="1:6" x14ac:dyDescent="0.25">
      <c r="B4" s="2" t="s">
        <v>7</v>
      </c>
      <c r="C4" s="3">
        <v>45901</v>
      </c>
      <c r="D4" s="2">
        <v>869</v>
      </c>
      <c r="E4" s="2"/>
      <c r="F4" s="2"/>
    </row>
    <row r="5" spans="1:6" x14ac:dyDescent="0.25">
      <c r="B5" s="2" t="s">
        <v>7</v>
      </c>
      <c r="C5" s="3">
        <v>45915</v>
      </c>
      <c r="D5" s="2">
        <v>284</v>
      </c>
      <c r="E5" s="2"/>
      <c r="F5" s="2"/>
    </row>
    <row r="6" spans="1:6" x14ac:dyDescent="0.25">
      <c r="B6" s="2" t="s">
        <v>7</v>
      </c>
      <c r="C6" s="3">
        <v>45929</v>
      </c>
      <c r="D6" s="2">
        <v>129</v>
      </c>
      <c r="E6" s="2"/>
      <c r="F6" s="2"/>
    </row>
    <row r="7" spans="1:6" x14ac:dyDescent="0.25">
      <c r="B7" s="2" t="s">
        <v>7</v>
      </c>
      <c r="C7" s="3">
        <v>45943</v>
      </c>
      <c r="D7" s="2">
        <v>167</v>
      </c>
      <c r="E7" s="2"/>
      <c r="F7" s="2"/>
    </row>
    <row r="8" spans="1:6" x14ac:dyDescent="0.25">
      <c r="A8" t="s">
        <v>8</v>
      </c>
      <c r="B8" s="2" t="s">
        <v>9</v>
      </c>
      <c r="C8" s="3">
        <v>45873</v>
      </c>
      <c r="D8" s="2">
        <v>349</v>
      </c>
      <c r="E8" s="2"/>
      <c r="F8" s="2"/>
    </row>
    <row r="9" spans="1:6" x14ac:dyDescent="0.25">
      <c r="B9" s="2" t="s">
        <v>9</v>
      </c>
      <c r="C9" s="3">
        <v>45887</v>
      </c>
      <c r="D9" s="2">
        <v>302</v>
      </c>
      <c r="E9" s="2"/>
      <c r="F9" s="2"/>
    </row>
    <row r="10" spans="1:6" x14ac:dyDescent="0.25">
      <c r="B10" s="2" t="s">
        <v>9</v>
      </c>
      <c r="C10" s="3">
        <v>45901</v>
      </c>
      <c r="D10" s="2">
        <v>348</v>
      </c>
      <c r="E10" s="2"/>
      <c r="F10" s="2"/>
    </row>
    <row r="11" spans="1:6" x14ac:dyDescent="0.25">
      <c r="B11" s="2" t="s">
        <v>9</v>
      </c>
      <c r="C11" s="3">
        <v>45915</v>
      </c>
      <c r="D11" s="2">
        <v>312</v>
      </c>
      <c r="E11" s="2"/>
      <c r="F11" s="2"/>
    </row>
    <row r="12" spans="1:6" x14ac:dyDescent="0.25">
      <c r="B12" s="2" t="s">
        <v>9</v>
      </c>
      <c r="C12" s="3">
        <v>45929</v>
      </c>
      <c r="D12" s="2">
        <v>249</v>
      </c>
      <c r="E12" s="2"/>
      <c r="F12" s="2"/>
    </row>
    <row r="13" spans="1:6" x14ac:dyDescent="0.25">
      <c r="B13" s="2" t="s">
        <v>9</v>
      </c>
      <c r="C13" s="3">
        <v>45943</v>
      </c>
      <c r="D13" s="2">
        <v>335</v>
      </c>
      <c r="E13" s="2"/>
      <c r="F13" s="2"/>
    </row>
    <row r="14" spans="1:6" x14ac:dyDescent="0.25">
      <c r="A14" t="s">
        <v>10</v>
      </c>
      <c r="B14" s="2" t="s">
        <v>11</v>
      </c>
      <c r="C14" s="3">
        <v>45873</v>
      </c>
      <c r="D14" s="2">
        <v>247</v>
      </c>
      <c r="E14" s="2"/>
      <c r="F14" s="2"/>
    </row>
    <row r="15" spans="1:6" x14ac:dyDescent="0.25">
      <c r="B15" s="2" t="s">
        <v>11</v>
      </c>
      <c r="C15" s="3">
        <v>45887</v>
      </c>
      <c r="D15" s="2">
        <v>376</v>
      </c>
      <c r="E15" s="2"/>
      <c r="F15" s="2"/>
    </row>
    <row r="16" spans="1:6" x14ac:dyDescent="0.25">
      <c r="B16" s="2" t="s">
        <v>11</v>
      </c>
      <c r="C16" s="3">
        <v>45901</v>
      </c>
      <c r="D16" s="2">
        <v>340</v>
      </c>
      <c r="E16" s="2"/>
      <c r="F16" s="2"/>
    </row>
    <row r="17" spans="1:6" x14ac:dyDescent="0.25">
      <c r="B17" s="2" t="s">
        <v>11</v>
      </c>
      <c r="C17" s="3">
        <v>45915</v>
      </c>
      <c r="D17" s="2">
        <v>317</v>
      </c>
      <c r="E17" s="2"/>
      <c r="F17" s="2"/>
    </row>
    <row r="18" spans="1:6" x14ac:dyDescent="0.25">
      <c r="B18" s="2" t="s">
        <v>11</v>
      </c>
      <c r="C18" s="3">
        <v>45929</v>
      </c>
      <c r="D18" s="2">
        <v>152</v>
      </c>
      <c r="E18" s="2"/>
      <c r="F18" s="2"/>
    </row>
    <row r="19" spans="1:6" x14ac:dyDescent="0.25">
      <c r="B19" s="2" t="s">
        <v>11</v>
      </c>
      <c r="C19" s="3">
        <v>45943</v>
      </c>
      <c r="D19" s="2">
        <v>202</v>
      </c>
      <c r="E19" s="2"/>
      <c r="F19" s="2"/>
    </row>
    <row r="20" spans="1:6" x14ac:dyDescent="0.25">
      <c r="A20" t="s">
        <v>12</v>
      </c>
      <c r="B20" s="2" t="s">
        <v>13</v>
      </c>
      <c r="C20" s="3">
        <v>45873</v>
      </c>
      <c r="D20" s="2">
        <v>2861</v>
      </c>
      <c r="E20" s="2"/>
      <c r="F20" s="2"/>
    </row>
    <row r="21" spans="1:6" x14ac:dyDescent="0.25">
      <c r="B21" s="2" t="s">
        <v>13</v>
      </c>
      <c r="C21" s="3">
        <v>45887</v>
      </c>
      <c r="D21" s="2">
        <v>931</v>
      </c>
      <c r="E21" s="2"/>
      <c r="F21" s="2"/>
    </row>
    <row r="22" spans="1:6" x14ac:dyDescent="0.25">
      <c r="B22" s="2" t="s">
        <v>13</v>
      </c>
      <c r="C22" s="3">
        <v>45901</v>
      </c>
      <c r="D22" s="2">
        <v>1283</v>
      </c>
      <c r="E22" s="2"/>
      <c r="F22" s="2"/>
    </row>
    <row r="23" spans="1:6" x14ac:dyDescent="0.25">
      <c r="B23" s="2" t="s">
        <v>13</v>
      </c>
      <c r="C23" s="3">
        <v>45915</v>
      </c>
      <c r="D23" s="2">
        <v>625</v>
      </c>
      <c r="E23" s="2"/>
      <c r="F23" s="2"/>
    </row>
    <row r="24" spans="1:6" x14ac:dyDescent="0.25">
      <c r="B24" s="2" t="s">
        <v>13</v>
      </c>
      <c r="C24" s="3">
        <v>45929</v>
      </c>
      <c r="D24" s="2">
        <v>445</v>
      </c>
      <c r="E24" s="2"/>
      <c r="F24" s="2"/>
    </row>
    <row r="25" spans="1:6" x14ac:dyDescent="0.25">
      <c r="B25" s="2" t="s">
        <v>13</v>
      </c>
      <c r="C25" s="3">
        <v>45943</v>
      </c>
      <c r="D25" s="2">
        <v>707</v>
      </c>
      <c r="E25" s="2"/>
      <c r="F25" s="2"/>
    </row>
    <row r="26" spans="1:6" x14ac:dyDescent="0.25">
      <c r="A26" t="s">
        <v>14</v>
      </c>
      <c r="B26" s="2" t="s">
        <v>15</v>
      </c>
      <c r="C26" s="3">
        <v>45873</v>
      </c>
      <c r="D26" s="2">
        <v>875</v>
      </c>
      <c r="E26" s="2"/>
      <c r="F26" s="2"/>
    </row>
    <row r="27" spans="1:6" x14ac:dyDescent="0.25">
      <c r="B27" s="2" t="s">
        <v>15</v>
      </c>
      <c r="C27" s="3">
        <v>45887</v>
      </c>
      <c r="D27" s="2">
        <v>909</v>
      </c>
      <c r="E27" s="2"/>
      <c r="F27" s="2"/>
    </row>
    <row r="28" spans="1:6" x14ac:dyDescent="0.25">
      <c r="B28" s="2" t="s">
        <v>15</v>
      </c>
      <c r="C28" s="3">
        <v>45901</v>
      </c>
      <c r="D28" s="2">
        <v>927</v>
      </c>
      <c r="E28" s="2"/>
      <c r="F28" s="2"/>
    </row>
    <row r="29" spans="1:6" x14ac:dyDescent="0.25">
      <c r="B29" s="2" t="s">
        <v>15</v>
      </c>
      <c r="C29" s="3">
        <v>45915</v>
      </c>
      <c r="D29" s="2">
        <v>552</v>
      </c>
      <c r="E29" s="2"/>
      <c r="F29" s="2"/>
    </row>
    <row r="30" spans="1:6" x14ac:dyDescent="0.25">
      <c r="B30" s="2" t="s">
        <v>15</v>
      </c>
      <c r="C30" s="3">
        <v>45929</v>
      </c>
      <c r="D30" s="2">
        <v>365</v>
      </c>
      <c r="E30" s="2"/>
      <c r="F30" s="2"/>
    </row>
    <row r="31" spans="1:6" x14ac:dyDescent="0.25">
      <c r="B31" s="2" t="s">
        <v>15</v>
      </c>
      <c r="C31" s="3">
        <v>45943</v>
      </c>
      <c r="D31" s="2">
        <v>610</v>
      </c>
      <c r="E31" s="2"/>
      <c r="F31" s="2"/>
    </row>
    <row r="32" spans="1:6" x14ac:dyDescent="0.25">
      <c r="A32" t="s">
        <v>16</v>
      </c>
      <c r="B32" s="2" t="s">
        <v>17</v>
      </c>
      <c r="C32" s="3">
        <v>45873</v>
      </c>
      <c r="D32" s="2">
        <v>1894</v>
      </c>
      <c r="E32" s="2"/>
      <c r="F32" s="2"/>
    </row>
    <row r="33" spans="1:6" x14ac:dyDescent="0.25">
      <c r="B33" s="2" t="s">
        <v>17</v>
      </c>
      <c r="C33" s="3">
        <v>45887</v>
      </c>
      <c r="D33" s="2">
        <v>389</v>
      </c>
      <c r="E33" s="2"/>
      <c r="F33" s="2"/>
    </row>
    <row r="34" spans="1:6" x14ac:dyDescent="0.25">
      <c r="B34" s="2" t="s">
        <v>17</v>
      </c>
      <c r="C34" s="3">
        <v>45901</v>
      </c>
      <c r="D34" s="2">
        <v>920</v>
      </c>
      <c r="E34" s="2"/>
      <c r="F34" s="2"/>
    </row>
    <row r="35" spans="1:6" x14ac:dyDescent="0.25">
      <c r="B35" s="2" t="s">
        <v>17</v>
      </c>
      <c r="C35" s="3">
        <v>45915</v>
      </c>
      <c r="D35" s="2">
        <v>199</v>
      </c>
      <c r="E35" s="2"/>
      <c r="F35" s="2"/>
    </row>
    <row r="36" spans="1:6" x14ac:dyDescent="0.25">
      <c r="B36" s="2" t="s">
        <v>17</v>
      </c>
      <c r="C36" s="3">
        <v>45929</v>
      </c>
      <c r="D36" s="2">
        <v>179</v>
      </c>
      <c r="E36" s="2"/>
      <c r="F36" s="2"/>
    </row>
    <row r="37" spans="1:6" x14ac:dyDescent="0.25">
      <c r="B37" s="2" t="s">
        <v>17</v>
      </c>
      <c r="C37" s="3">
        <v>45943</v>
      </c>
      <c r="D37" s="2">
        <v>1026</v>
      </c>
      <c r="E37" s="2"/>
      <c r="F37" s="2"/>
    </row>
    <row r="38" spans="1:6" x14ac:dyDescent="0.25">
      <c r="A38" t="s">
        <v>18</v>
      </c>
      <c r="B38" s="2" t="s">
        <v>19</v>
      </c>
      <c r="C38" s="3">
        <v>45873</v>
      </c>
      <c r="D38" s="2">
        <v>2772</v>
      </c>
      <c r="E38" s="2"/>
      <c r="F38" s="2"/>
    </row>
    <row r="39" spans="1:6" x14ac:dyDescent="0.25">
      <c r="B39" s="2" t="s">
        <v>19</v>
      </c>
      <c r="C39" s="3">
        <v>45887</v>
      </c>
      <c r="D39" s="2">
        <v>1085</v>
      </c>
      <c r="E39" s="2"/>
      <c r="F39" s="2"/>
    </row>
    <row r="40" spans="1:6" x14ac:dyDescent="0.25">
      <c r="B40" s="2" t="s">
        <v>19</v>
      </c>
      <c r="C40" s="3">
        <v>45901</v>
      </c>
      <c r="D40" s="2">
        <v>1459</v>
      </c>
      <c r="E40" s="2"/>
      <c r="F40" s="2"/>
    </row>
    <row r="41" spans="1:6" x14ac:dyDescent="0.25">
      <c r="B41" s="2" t="s">
        <v>19</v>
      </c>
      <c r="C41" s="3">
        <v>45915</v>
      </c>
      <c r="D41" s="2">
        <v>571</v>
      </c>
      <c r="E41" s="2"/>
      <c r="F41" s="2"/>
    </row>
    <row r="42" spans="1:6" x14ac:dyDescent="0.25">
      <c r="B42" s="2" t="s">
        <v>19</v>
      </c>
      <c r="C42" s="3">
        <v>45929</v>
      </c>
      <c r="D42" s="2">
        <v>168</v>
      </c>
      <c r="E42" s="2"/>
      <c r="F42" s="2"/>
    </row>
    <row r="43" spans="1:6" x14ac:dyDescent="0.25">
      <c r="B43" s="2" t="s">
        <v>19</v>
      </c>
      <c r="C43" s="3">
        <v>45943</v>
      </c>
      <c r="D43" s="2">
        <v>225</v>
      </c>
      <c r="E43" s="2"/>
      <c r="F43" s="2"/>
    </row>
    <row r="44" spans="1:6" x14ac:dyDescent="0.25">
      <c r="A44" t="s">
        <v>20</v>
      </c>
      <c r="B44" s="2" t="s">
        <v>21</v>
      </c>
      <c r="C44" s="3">
        <v>45873</v>
      </c>
      <c r="D44" s="2">
        <v>199</v>
      </c>
      <c r="E44" s="2"/>
      <c r="F44" s="2"/>
    </row>
    <row r="45" spans="1:6" x14ac:dyDescent="0.25">
      <c r="B45" s="2" t="s">
        <v>21</v>
      </c>
      <c r="C45" s="3">
        <v>45887</v>
      </c>
      <c r="D45" s="2">
        <v>139</v>
      </c>
      <c r="E45" s="2"/>
      <c r="F45" s="2"/>
    </row>
    <row r="46" spans="1:6" x14ac:dyDescent="0.25">
      <c r="B46" s="2" t="s">
        <v>21</v>
      </c>
      <c r="C46" s="3">
        <v>45901</v>
      </c>
      <c r="D46" s="2">
        <v>568</v>
      </c>
      <c r="E46" s="2"/>
      <c r="F46" s="2"/>
    </row>
    <row r="47" spans="1:6" x14ac:dyDescent="0.25">
      <c r="B47" s="2" t="s">
        <v>21</v>
      </c>
      <c r="C47" s="3">
        <v>45915</v>
      </c>
      <c r="D47" s="2">
        <v>154</v>
      </c>
      <c r="E47" s="2"/>
      <c r="F47" s="2"/>
    </row>
    <row r="48" spans="1:6" x14ac:dyDescent="0.25">
      <c r="B48" s="2" t="s">
        <v>21</v>
      </c>
      <c r="C48" s="3">
        <v>45929</v>
      </c>
      <c r="D48" s="2">
        <v>272</v>
      </c>
      <c r="E48" s="2"/>
      <c r="F48" s="2"/>
    </row>
    <row r="49" spans="1:6" x14ac:dyDescent="0.25">
      <c r="B49" s="2" t="s">
        <v>21</v>
      </c>
      <c r="C49" s="3">
        <v>45943</v>
      </c>
      <c r="D49" s="2">
        <v>183</v>
      </c>
      <c r="E49" s="2"/>
      <c r="F49" s="2"/>
    </row>
    <row r="50" spans="1:6" x14ac:dyDescent="0.25">
      <c r="A50" t="s">
        <v>22</v>
      </c>
      <c r="B50" s="2" t="s">
        <v>23</v>
      </c>
      <c r="C50" s="3">
        <v>45873</v>
      </c>
      <c r="D50" s="2">
        <v>148</v>
      </c>
      <c r="E50" s="2"/>
      <c r="F50" s="2"/>
    </row>
    <row r="51" spans="1:6" x14ac:dyDescent="0.25">
      <c r="B51" s="2" t="s">
        <v>23</v>
      </c>
      <c r="C51" s="3">
        <v>45887</v>
      </c>
      <c r="D51" s="2">
        <v>315</v>
      </c>
      <c r="E51" s="2"/>
      <c r="F51" s="2"/>
    </row>
    <row r="52" spans="1:6" x14ac:dyDescent="0.25">
      <c r="B52" s="2" t="s">
        <v>23</v>
      </c>
      <c r="C52" s="3">
        <v>45901</v>
      </c>
      <c r="D52" s="2">
        <v>307</v>
      </c>
      <c r="E52" s="2"/>
      <c r="F52" s="2"/>
    </row>
    <row r="53" spans="1:6" x14ac:dyDescent="0.25">
      <c r="B53" s="2" t="s">
        <v>23</v>
      </c>
      <c r="C53" s="3">
        <v>45915</v>
      </c>
      <c r="D53" s="2">
        <v>166</v>
      </c>
      <c r="E53" s="2"/>
      <c r="F53" s="2"/>
    </row>
    <row r="54" spans="1:6" x14ac:dyDescent="0.25">
      <c r="B54" s="2" t="s">
        <v>23</v>
      </c>
      <c r="C54" s="3">
        <v>45929</v>
      </c>
      <c r="D54" s="2">
        <v>140</v>
      </c>
      <c r="E54" s="2"/>
      <c r="F54" s="2"/>
    </row>
    <row r="55" spans="1:6" x14ac:dyDescent="0.25">
      <c r="B55" s="2" t="s">
        <v>23</v>
      </c>
      <c r="C55" s="3">
        <v>45943</v>
      </c>
      <c r="D55" s="2">
        <v>145</v>
      </c>
      <c r="E55" s="2"/>
      <c r="F55" s="2"/>
    </row>
    <row r="56" spans="1:6" x14ac:dyDescent="0.25">
      <c r="A56" t="s">
        <v>24</v>
      </c>
      <c r="B56" s="2" t="s">
        <v>25</v>
      </c>
      <c r="C56" s="3">
        <v>45873</v>
      </c>
      <c r="D56" s="2">
        <v>2486</v>
      </c>
      <c r="E56" s="2"/>
      <c r="F56" s="2"/>
    </row>
    <row r="57" spans="1:6" x14ac:dyDescent="0.25">
      <c r="B57" s="2" t="s">
        <v>25</v>
      </c>
      <c r="C57" s="3">
        <v>45887</v>
      </c>
      <c r="D57" s="2">
        <v>842</v>
      </c>
      <c r="E57" s="2"/>
      <c r="F57" s="2"/>
    </row>
    <row r="58" spans="1:6" x14ac:dyDescent="0.25">
      <c r="B58" s="2" t="s">
        <v>25</v>
      </c>
      <c r="C58" s="3">
        <v>45901</v>
      </c>
      <c r="D58" s="2">
        <v>849</v>
      </c>
      <c r="E58" s="2"/>
      <c r="F58" s="2"/>
    </row>
    <row r="59" spans="1:6" x14ac:dyDescent="0.25">
      <c r="B59" s="2" t="s">
        <v>25</v>
      </c>
      <c r="C59" s="3">
        <v>45915</v>
      </c>
      <c r="D59" s="2">
        <v>367</v>
      </c>
      <c r="E59" s="2"/>
      <c r="F59" s="2"/>
    </row>
    <row r="60" spans="1:6" x14ac:dyDescent="0.25">
      <c r="B60" s="2" t="s">
        <v>25</v>
      </c>
      <c r="C60" s="3">
        <v>45929</v>
      </c>
      <c r="D60" s="2">
        <v>363</v>
      </c>
      <c r="E60" s="2"/>
      <c r="F60" s="2"/>
    </row>
    <row r="61" spans="1:6" x14ac:dyDescent="0.25">
      <c r="B61" s="2" t="s">
        <v>25</v>
      </c>
      <c r="C61" s="3">
        <v>45943</v>
      </c>
      <c r="D61" s="2">
        <v>262</v>
      </c>
      <c r="E61" s="2"/>
      <c r="F61" s="2"/>
    </row>
    <row r="62" spans="1:6" x14ac:dyDescent="0.25">
      <c r="A62" t="s">
        <v>26</v>
      </c>
      <c r="B62" s="2" t="s">
        <v>27</v>
      </c>
      <c r="C62" s="3">
        <v>45873</v>
      </c>
      <c r="D62" s="2">
        <v>1823</v>
      </c>
      <c r="E62" s="2"/>
      <c r="F62" s="2"/>
    </row>
    <row r="63" spans="1:6" x14ac:dyDescent="0.25">
      <c r="B63" s="2" t="s">
        <v>27</v>
      </c>
      <c r="C63" s="3">
        <v>45887</v>
      </c>
      <c r="D63" s="2">
        <v>541</v>
      </c>
      <c r="E63" s="2"/>
      <c r="F63" s="2"/>
    </row>
    <row r="64" spans="1:6" x14ac:dyDescent="0.25">
      <c r="B64" s="2" t="s">
        <v>27</v>
      </c>
      <c r="C64" s="3">
        <v>45901</v>
      </c>
      <c r="D64" s="2">
        <v>1540</v>
      </c>
      <c r="E64" s="2"/>
      <c r="F64" s="2"/>
    </row>
    <row r="65" spans="1:6" x14ac:dyDescent="0.25">
      <c r="B65" s="2" t="s">
        <v>27</v>
      </c>
      <c r="C65" s="3">
        <v>45915</v>
      </c>
      <c r="D65" s="2">
        <v>579</v>
      </c>
      <c r="E65" s="2"/>
      <c r="F65" s="2"/>
    </row>
    <row r="66" spans="1:6" x14ac:dyDescent="0.25">
      <c r="B66" s="2" t="s">
        <v>27</v>
      </c>
      <c r="C66" s="3">
        <v>45929</v>
      </c>
      <c r="D66" s="2">
        <v>643</v>
      </c>
      <c r="E66" s="2"/>
      <c r="F66" s="2"/>
    </row>
    <row r="67" spans="1:6" x14ac:dyDescent="0.25">
      <c r="B67" s="2" t="s">
        <v>27</v>
      </c>
      <c r="C67" s="3">
        <v>45943</v>
      </c>
      <c r="D67" s="2">
        <v>806</v>
      </c>
      <c r="E67" s="2"/>
      <c r="F67" s="2"/>
    </row>
    <row r="68" spans="1:6" x14ac:dyDescent="0.25">
      <c r="A68" t="s">
        <v>28</v>
      </c>
      <c r="B68" s="2" t="s">
        <v>29</v>
      </c>
      <c r="C68" s="3">
        <v>45873</v>
      </c>
      <c r="D68" s="2">
        <v>187</v>
      </c>
      <c r="E68" s="2"/>
      <c r="F68" s="2"/>
    </row>
    <row r="69" spans="1:6" x14ac:dyDescent="0.25">
      <c r="B69" s="2" t="s">
        <v>29</v>
      </c>
      <c r="C69" s="3">
        <v>45887</v>
      </c>
      <c r="D69" s="2">
        <v>137</v>
      </c>
      <c r="E69" s="2"/>
      <c r="F69" s="2"/>
    </row>
    <row r="70" spans="1:6" x14ac:dyDescent="0.25">
      <c r="B70" s="2" t="s">
        <v>29</v>
      </c>
      <c r="C70" s="3">
        <v>45901</v>
      </c>
      <c r="D70" s="2">
        <v>207</v>
      </c>
      <c r="E70" s="2"/>
      <c r="F70" s="2"/>
    </row>
    <row r="71" spans="1:6" x14ac:dyDescent="0.25">
      <c r="B71" s="2" t="s">
        <v>29</v>
      </c>
      <c r="C71" s="3">
        <v>45915</v>
      </c>
      <c r="D71" s="2">
        <v>164</v>
      </c>
      <c r="E71" s="2"/>
      <c r="F71" s="2"/>
    </row>
    <row r="72" spans="1:6" x14ac:dyDescent="0.25">
      <c r="B72" s="2" t="s">
        <v>29</v>
      </c>
      <c r="C72" s="3">
        <v>45929</v>
      </c>
      <c r="D72" s="2">
        <v>96</v>
      </c>
      <c r="E72" s="2"/>
      <c r="F72" s="2"/>
    </row>
    <row r="73" spans="1:6" x14ac:dyDescent="0.25">
      <c r="B73" s="2" t="s">
        <v>29</v>
      </c>
      <c r="C73" s="3">
        <v>45943</v>
      </c>
      <c r="D73" s="2">
        <v>159</v>
      </c>
      <c r="E73" s="2"/>
      <c r="F73" s="2"/>
    </row>
    <row r="74" spans="1:6" x14ac:dyDescent="0.25">
      <c r="A74" t="s">
        <v>30</v>
      </c>
      <c r="B74" s="2" t="s">
        <v>31</v>
      </c>
      <c r="C74" s="3">
        <v>45873</v>
      </c>
      <c r="D74" s="2">
        <v>161</v>
      </c>
      <c r="E74" s="2"/>
      <c r="F74" s="2"/>
    </row>
    <row r="75" spans="1:6" x14ac:dyDescent="0.25">
      <c r="B75" s="2" t="s">
        <v>31</v>
      </c>
      <c r="C75" s="3">
        <v>45887</v>
      </c>
      <c r="D75" s="2">
        <v>217</v>
      </c>
      <c r="E75" s="2"/>
      <c r="F75" s="2"/>
    </row>
    <row r="76" spans="1:6" x14ac:dyDescent="0.25">
      <c r="B76" s="2" t="s">
        <v>31</v>
      </c>
      <c r="C76" s="3">
        <v>45901</v>
      </c>
      <c r="D76" s="2">
        <v>192</v>
      </c>
      <c r="E76" s="2"/>
      <c r="F76" s="2"/>
    </row>
    <row r="77" spans="1:6" x14ac:dyDescent="0.25">
      <c r="B77" s="2" t="s">
        <v>31</v>
      </c>
      <c r="C77" s="3">
        <v>45915</v>
      </c>
      <c r="D77" s="2">
        <v>197</v>
      </c>
      <c r="E77" s="2"/>
      <c r="F77" s="2"/>
    </row>
    <row r="78" spans="1:6" x14ac:dyDescent="0.25">
      <c r="B78" s="2" t="s">
        <v>31</v>
      </c>
      <c r="C78" s="3">
        <v>45929</v>
      </c>
      <c r="D78" s="2">
        <v>200</v>
      </c>
      <c r="E78" s="2"/>
      <c r="F78" s="2"/>
    </row>
    <row r="79" spans="1:6" x14ac:dyDescent="0.25">
      <c r="B79" s="2" t="s">
        <v>31</v>
      </c>
      <c r="C79" s="3">
        <v>45943</v>
      </c>
      <c r="D79" s="2">
        <v>203</v>
      </c>
      <c r="E79" s="2"/>
      <c r="F79" s="2"/>
    </row>
    <row r="80" spans="1:6" x14ac:dyDescent="0.25">
      <c r="A80" t="s">
        <v>32</v>
      </c>
      <c r="B80" s="2" t="s">
        <v>33</v>
      </c>
      <c r="C80" s="3">
        <v>45873</v>
      </c>
      <c r="D80" s="2">
        <v>444</v>
      </c>
      <c r="E80" s="2"/>
      <c r="F80" s="2"/>
    </row>
    <row r="81" spans="1:6" x14ac:dyDescent="0.25">
      <c r="B81" s="2" t="s">
        <v>33</v>
      </c>
      <c r="C81" s="3">
        <v>45887</v>
      </c>
      <c r="D81" s="2">
        <v>724</v>
      </c>
      <c r="E81" s="2"/>
      <c r="F81" s="2"/>
    </row>
    <row r="82" spans="1:6" x14ac:dyDescent="0.25">
      <c r="B82" s="2" t="s">
        <v>33</v>
      </c>
      <c r="C82" s="3">
        <v>45901</v>
      </c>
      <c r="D82" s="2">
        <v>316</v>
      </c>
      <c r="E82" s="2"/>
      <c r="F82" s="2"/>
    </row>
    <row r="83" spans="1:6" x14ac:dyDescent="0.25">
      <c r="B83" s="2" t="s">
        <v>33</v>
      </c>
      <c r="C83" s="3">
        <v>45915</v>
      </c>
      <c r="D83" s="2">
        <v>299</v>
      </c>
      <c r="E83" s="2"/>
      <c r="F83" s="2"/>
    </row>
    <row r="84" spans="1:6" x14ac:dyDescent="0.25">
      <c r="B84" s="2" t="s">
        <v>33</v>
      </c>
      <c r="C84" s="3">
        <v>45929</v>
      </c>
      <c r="D84" s="2">
        <v>282</v>
      </c>
      <c r="E84" s="2"/>
      <c r="F84" s="2"/>
    </row>
    <row r="85" spans="1:6" x14ac:dyDescent="0.25">
      <c r="B85" s="2" t="s">
        <v>33</v>
      </c>
      <c r="C85" s="3">
        <v>45943</v>
      </c>
      <c r="D85" s="2">
        <v>506</v>
      </c>
      <c r="E85" s="2"/>
      <c r="F85" s="2"/>
    </row>
    <row r="86" spans="1:6" x14ac:dyDescent="0.25">
      <c r="A86" t="s">
        <v>34</v>
      </c>
      <c r="B86" s="2" t="s">
        <v>35</v>
      </c>
      <c r="C86" s="3">
        <v>45873</v>
      </c>
      <c r="D86" s="2">
        <v>281</v>
      </c>
      <c r="E86" s="2"/>
      <c r="F86" s="2"/>
    </row>
    <row r="87" spans="1:6" x14ac:dyDescent="0.25">
      <c r="B87" s="2" t="s">
        <v>35</v>
      </c>
      <c r="C87" s="3">
        <v>45887</v>
      </c>
      <c r="D87" s="2">
        <v>152</v>
      </c>
      <c r="E87" s="2"/>
      <c r="F87" s="2"/>
    </row>
    <row r="88" spans="1:6" x14ac:dyDescent="0.25">
      <c r="B88" s="2" t="s">
        <v>35</v>
      </c>
      <c r="C88" s="3">
        <v>45901</v>
      </c>
      <c r="D88" s="2">
        <v>191</v>
      </c>
      <c r="E88" s="2"/>
      <c r="F88" s="2"/>
    </row>
    <row r="89" spans="1:6" x14ac:dyDescent="0.25">
      <c r="B89" s="2" t="s">
        <v>35</v>
      </c>
      <c r="C89" s="3">
        <v>45915</v>
      </c>
      <c r="D89" s="2">
        <v>142</v>
      </c>
      <c r="E89" s="2"/>
      <c r="F89" s="2"/>
    </row>
    <row r="90" spans="1:6" x14ac:dyDescent="0.25">
      <c r="B90" s="2" t="s">
        <v>35</v>
      </c>
      <c r="C90" s="3">
        <v>45929</v>
      </c>
      <c r="D90" s="2">
        <v>105</v>
      </c>
      <c r="E90" s="2"/>
      <c r="F90" s="2"/>
    </row>
    <row r="91" spans="1:6" x14ac:dyDescent="0.25">
      <c r="B91" s="4" t="s">
        <v>36</v>
      </c>
      <c r="C91" s="3">
        <v>45943</v>
      </c>
      <c r="D91" s="2">
        <v>106</v>
      </c>
      <c r="E91" s="2"/>
      <c r="F91" s="2"/>
    </row>
    <row r="92" spans="1:6" x14ac:dyDescent="0.25">
      <c r="A92" t="s">
        <v>37</v>
      </c>
      <c r="B92" s="2" t="s">
        <v>38</v>
      </c>
      <c r="C92" s="3">
        <v>45873</v>
      </c>
      <c r="D92" s="2">
        <v>199</v>
      </c>
      <c r="E92" s="2"/>
      <c r="F92" s="2"/>
    </row>
    <row r="93" spans="1:6" x14ac:dyDescent="0.25">
      <c r="B93" s="2" t="s">
        <v>38</v>
      </c>
      <c r="C93" s="3">
        <v>45887</v>
      </c>
      <c r="D93" s="2">
        <v>572</v>
      </c>
      <c r="E93" s="2"/>
      <c r="F93" s="2"/>
    </row>
    <row r="94" spans="1:6" x14ac:dyDescent="0.25">
      <c r="B94" s="2" t="s">
        <v>38</v>
      </c>
      <c r="C94" s="3">
        <v>45901</v>
      </c>
      <c r="D94" s="2">
        <v>213</v>
      </c>
      <c r="E94" s="2"/>
      <c r="F94" s="2"/>
    </row>
    <row r="95" spans="1:6" x14ac:dyDescent="0.25">
      <c r="B95" s="2" t="s">
        <v>38</v>
      </c>
      <c r="C95" s="3">
        <v>45915</v>
      </c>
      <c r="D95" s="2">
        <v>312</v>
      </c>
      <c r="E95" s="2"/>
      <c r="F95" s="2"/>
    </row>
    <row r="96" spans="1:6" x14ac:dyDescent="0.25">
      <c r="B96" s="2" t="s">
        <v>38</v>
      </c>
      <c r="C96" s="3">
        <v>45929</v>
      </c>
      <c r="D96" s="2">
        <v>294</v>
      </c>
      <c r="E96" s="2"/>
      <c r="F96" s="2"/>
    </row>
    <row r="97" spans="1:6" x14ac:dyDescent="0.25">
      <c r="B97" s="2" t="s">
        <v>38</v>
      </c>
      <c r="C97" s="3">
        <v>45943</v>
      </c>
      <c r="D97" s="2">
        <v>326</v>
      </c>
      <c r="E97" s="2"/>
      <c r="F97" s="2"/>
    </row>
    <row r="98" spans="1:6" x14ac:dyDescent="0.25">
      <c r="A98" t="s">
        <v>39</v>
      </c>
      <c r="B98" s="2" t="s">
        <v>40</v>
      </c>
      <c r="C98" s="3">
        <v>45873</v>
      </c>
      <c r="D98" s="2">
        <v>215</v>
      </c>
      <c r="E98" s="2"/>
      <c r="F98" s="2"/>
    </row>
    <row r="99" spans="1:6" x14ac:dyDescent="0.25">
      <c r="B99" s="2" t="s">
        <v>40</v>
      </c>
      <c r="C99" s="3">
        <v>45887</v>
      </c>
      <c r="D99" s="2">
        <v>300</v>
      </c>
      <c r="E99" s="2"/>
      <c r="F99" s="2"/>
    </row>
    <row r="100" spans="1:6" x14ac:dyDescent="0.25">
      <c r="B100" s="2" t="s">
        <v>40</v>
      </c>
      <c r="C100" s="3">
        <v>45901</v>
      </c>
      <c r="D100" s="2">
        <v>908</v>
      </c>
      <c r="E100" s="2"/>
      <c r="F100" s="2"/>
    </row>
    <row r="101" spans="1:6" x14ac:dyDescent="0.25">
      <c r="B101" s="2" t="s">
        <v>40</v>
      </c>
      <c r="C101" s="3">
        <v>45915</v>
      </c>
      <c r="D101" s="2">
        <v>331</v>
      </c>
      <c r="E101" s="2"/>
      <c r="F101" s="2"/>
    </row>
    <row r="102" spans="1:6" x14ac:dyDescent="0.25">
      <c r="B102" s="2" t="s">
        <v>40</v>
      </c>
      <c r="C102" s="3">
        <v>45929</v>
      </c>
      <c r="D102" s="2">
        <v>129</v>
      </c>
      <c r="E102" s="2"/>
      <c r="F102" s="2"/>
    </row>
    <row r="103" spans="1:6" x14ac:dyDescent="0.25">
      <c r="B103" s="2" t="s">
        <v>40</v>
      </c>
      <c r="C103" s="3">
        <v>45943</v>
      </c>
      <c r="D103" s="2">
        <v>189</v>
      </c>
      <c r="E103" s="2"/>
      <c r="F103" s="2"/>
    </row>
    <row r="104" spans="1:6" x14ac:dyDescent="0.25">
      <c r="A104" t="s">
        <v>41</v>
      </c>
      <c r="B104" s="2" t="s">
        <v>42</v>
      </c>
      <c r="C104" s="3">
        <v>45873</v>
      </c>
      <c r="D104" s="2">
        <v>280</v>
      </c>
      <c r="E104" s="2"/>
      <c r="F104" s="2"/>
    </row>
    <row r="105" spans="1:6" x14ac:dyDescent="0.25">
      <c r="B105" s="2" t="s">
        <v>42</v>
      </c>
      <c r="C105" s="3">
        <v>45887</v>
      </c>
      <c r="D105" s="2">
        <v>485</v>
      </c>
      <c r="E105" s="2"/>
      <c r="F105" s="2"/>
    </row>
    <row r="106" spans="1:6" x14ac:dyDescent="0.25">
      <c r="B106" s="2" t="s">
        <v>42</v>
      </c>
      <c r="C106" s="3">
        <v>45901</v>
      </c>
      <c r="D106" s="2">
        <v>1171</v>
      </c>
      <c r="E106" s="2"/>
      <c r="F106" s="2"/>
    </row>
    <row r="107" spans="1:6" x14ac:dyDescent="0.25">
      <c r="B107" s="2" t="s">
        <v>42</v>
      </c>
      <c r="C107" s="3">
        <v>45915</v>
      </c>
      <c r="D107" s="2">
        <v>155</v>
      </c>
      <c r="E107" s="2"/>
      <c r="F107" s="2"/>
    </row>
    <row r="108" spans="1:6" x14ac:dyDescent="0.25">
      <c r="B108" s="2" t="s">
        <v>42</v>
      </c>
      <c r="C108" s="3">
        <v>45929</v>
      </c>
      <c r="D108" s="2">
        <v>182</v>
      </c>
      <c r="E108" s="2"/>
      <c r="F108" s="2"/>
    </row>
    <row r="109" spans="1:6" x14ac:dyDescent="0.25">
      <c r="B109" s="2" t="s">
        <v>42</v>
      </c>
      <c r="C109" s="3">
        <v>45943</v>
      </c>
      <c r="D109" s="2">
        <v>243</v>
      </c>
      <c r="E109" s="2"/>
      <c r="F109" s="2"/>
    </row>
    <row r="110" spans="1:6" x14ac:dyDescent="0.25">
      <c r="A110" t="s">
        <v>43</v>
      </c>
      <c r="B110" s="2" t="s">
        <v>44</v>
      </c>
      <c r="C110" s="3">
        <v>45873</v>
      </c>
      <c r="D110" s="2">
        <v>120</v>
      </c>
      <c r="E110" s="2"/>
      <c r="F110" s="2"/>
    </row>
    <row r="111" spans="1:6" x14ac:dyDescent="0.25">
      <c r="B111" s="2" t="s">
        <v>44</v>
      </c>
      <c r="C111" s="3">
        <v>45887</v>
      </c>
      <c r="D111" s="2">
        <v>625</v>
      </c>
      <c r="E111" s="2"/>
      <c r="F111" s="2"/>
    </row>
    <row r="112" spans="1:6" x14ac:dyDescent="0.25">
      <c r="B112" s="2" t="s">
        <v>44</v>
      </c>
      <c r="C112" s="3">
        <v>45901</v>
      </c>
      <c r="D112" s="2">
        <v>253</v>
      </c>
      <c r="E112" s="2"/>
      <c r="F112" s="2"/>
    </row>
    <row r="113" spans="1:6" x14ac:dyDescent="0.25">
      <c r="B113" s="2" t="s">
        <v>44</v>
      </c>
      <c r="C113" s="3">
        <v>45915</v>
      </c>
      <c r="D113" s="2">
        <v>164</v>
      </c>
      <c r="E113" s="2"/>
      <c r="F113" s="2"/>
    </row>
    <row r="114" spans="1:6" x14ac:dyDescent="0.25">
      <c r="B114" s="2" t="s">
        <v>44</v>
      </c>
      <c r="C114" s="3">
        <v>45929</v>
      </c>
      <c r="D114" s="2">
        <v>101</v>
      </c>
      <c r="E114" s="2"/>
      <c r="F114" s="2"/>
    </row>
    <row r="115" spans="1:6" x14ac:dyDescent="0.25">
      <c r="B115" s="2" t="s">
        <v>44</v>
      </c>
      <c r="C115" s="3">
        <v>45943</v>
      </c>
      <c r="D115" s="2">
        <v>123</v>
      </c>
      <c r="E115" s="2"/>
      <c r="F115" s="2"/>
    </row>
    <row r="116" spans="1:6" x14ac:dyDescent="0.25">
      <c r="A116" t="s">
        <v>45</v>
      </c>
      <c r="B116" s="2" t="s">
        <v>46</v>
      </c>
      <c r="C116" s="3">
        <v>45873</v>
      </c>
      <c r="D116" s="2">
        <v>259</v>
      </c>
      <c r="E116" s="2"/>
      <c r="F116" s="2"/>
    </row>
    <row r="117" spans="1:6" x14ac:dyDescent="0.25">
      <c r="B117" s="2" t="s">
        <v>46</v>
      </c>
      <c r="C117" s="3">
        <v>45887</v>
      </c>
      <c r="D117" s="2">
        <v>277</v>
      </c>
      <c r="E117" s="2"/>
      <c r="F117" s="2"/>
    </row>
    <row r="118" spans="1:6" x14ac:dyDescent="0.25">
      <c r="B118" s="2" t="s">
        <v>46</v>
      </c>
      <c r="C118" s="3">
        <v>45901</v>
      </c>
      <c r="D118" s="2">
        <v>190</v>
      </c>
      <c r="E118" s="2"/>
      <c r="F118" s="2"/>
    </row>
    <row r="119" spans="1:6" x14ac:dyDescent="0.25">
      <c r="B119" s="2" t="s">
        <v>46</v>
      </c>
      <c r="C119" s="3">
        <v>45915</v>
      </c>
      <c r="D119" s="2">
        <v>455</v>
      </c>
      <c r="E119" s="2"/>
      <c r="F119" s="2"/>
    </row>
    <row r="120" spans="1:6" x14ac:dyDescent="0.25">
      <c r="B120" s="2" t="s">
        <v>46</v>
      </c>
      <c r="C120" s="3">
        <v>45929</v>
      </c>
      <c r="D120" s="2">
        <v>187</v>
      </c>
      <c r="E120" s="2"/>
      <c r="F120" s="2"/>
    </row>
    <row r="121" spans="1:6" x14ac:dyDescent="0.25">
      <c r="B121" s="2" t="s">
        <v>46</v>
      </c>
      <c r="C121" s="3">
        <v>45943</v>
      </c>
      <c r="D121" s="2">
        <v>268</v>
      </c>
      <c r="E121" s="2"/>
      <c r="F121" s="2"/>
    </row>
    <row r="122" spans="1:6" x14ac:dyDescent="0.25">
      <c r="A122" t="s">
        <v>47</v>
      </c>
      <c r="B122" s="2" t="s">
        <v>48</v>
      </c>
      <c r="C122" s="3">
        <v>45873</v>
      </c>
      <c r="D122" s="2">
        <v>228</v>
      </c>
      <c r="E122" s="2"/>
      <c r="F122" s="2"/>
    </row>
    <row r="123" spans="1:6" x14ac:dyDescent="0.25">
      <c r="B123" s="2" t="s">
        <v>48</v>
      </c>
      <c r="C123" s="3">
        <v>45887</v>
      </c>
      <c r="D123" s="2">
        <v>180</v>
      </c>
      <c r="E123" s="2"/>
      <c r="F123" s="2"/>
    </row>
    <row r="124" spans="1:6" x14ac:dyDescent="0.25">
      <c r="B124" s="2" t="s">
        <v>48</v>
      </c>
      <c r="C124" s="3">
        <v>45901</v>
      </c>
      <c r="D124" s="2">
        <v>187</v>
      </c>
      <c r="E124" s="2"/>
      <c r="F124" s="2"/>
    </row>
    <row r="125" spans="1:6" x14ac:dyDescent="0.25">
      <c r="B125" s="2" t="s">
        <v>48</v>
      </c>
      <c r="C125" s="3">
        <v>45915</v>
      </c>
      <c r="D125" s="2">
        <v>235</v>
      </c>
      <c r="E125" s="2"/>
      <c r="F125" s="2"/>
    </row>
    <row r="126" spans="1:6" x14ac:dyDescent="0.25">
      <c r="B126" s="2" t="s">
        <v>48</v>
      </c>
      <c r="C126" s="3">
        <v>45929</v>
      </c>
      <c r="D126" s="2">
        <v>94</v>
      </c>
      <c r="E126" s="2"/>
      <c r="F126" s="2"/>
    </row>
    <row r="127" spans="1:6" x14ac:dyDescent="0.25">
      <c r="B127" s="2" t="s">
        <v>48</v>
      </c>
      <c r="C127" s="3">
        <v>45943</v>
      </c>
      <c r="D127" s="2">
        <v>242</v>
      </c>
      <c r="E127" s="2"/>
      <c r="F127" s="2"/>
    </row>
    <row r="128" spans="1:6" x14ac:dyDescent="0.25">
      <c r="A128" t="s">
        <v>49</v>
      </c>
      <c r="B128" s="2" t="s">
        <v>50</v>
      </c>
      <c r="C128" s="3">
        <v>45873</v>
      </c>
      <c r="D128" s="2">
        <v>772</v>
      </c>
      <c r="E128" s="2"/>
      <c r="F128" s="2"/>
    </row>
    <row r="129" spans="1:6" x14ac:dyDescent="0.25">
      <c r="B129" s="2" t="s">
        <v>50</v>
      </c>
      <c r="C129" s="3">
        <v>45887</v>
      </c>
      <c r="D129" s="2">
        <v>393</v>
      </c>
      <c r="E129" s="2"/>
      <c r="F129" s="2"/>
    </row>
    <row r="130" spans="1:6" x14ac:dyDescent="0.25">
      <c r="B130" s="2" t="s">
        <v>50</v>
      </c>
      <c r="C130" s="3">
        <v>45901</v>
      </c>
      <c r="D130" s="2">
        <v>591</v>
      </c>
      <c r="E130" s="2"/>
      <c r="F130" s="2"/>
    </row>
    <row r="131" spans="1:6" x14ac:dyDescent="0.25">
      <c r="B131" s="2" t="s">
        <v>50</v>
      </c>
      <c r="C131" s="3">
        <v>45915</v>
      </c>
      <c r="D131" s="2">
        <v>851</v>
      </c>
      <c r="E131" s="2"/>
      <c r="F131" s="2"/>
    </row>
    <row r="132" spans="1:6" x14ac:dyDescent="0.25">
      <c r="B132" s="2" t="s">
        <v>50</v>
      </c>
      <c r="C132" s="3">
        <v>45929</v>
      </c>
      <c r="D132" s="2">
        <v>186</v>
      </c>
      <c r="E132" s="2"/>
      <c r="F132" s="2"/>
    </row>
    <row r="133" spans="1:6" x14ac:dyDescent="0.25">
      <c r="B133" s="2" t="s">
        <v>50</v>
      </c>
      <c r="C133" s="3">
        <v>45943</v>
      </c>
      <c r="D133" s="2">
        <v>576</v>
      </c>
      <c r="E133" s="2"/>
      <c r="F133" s="2"/>
    </row>
    <row r="134" spans="1:6" x14ac:dyDescent="0.25">
      <c r="A134" t="s">
        <v>51</v>
      </c>
      <c r="B134" s="2" t="s">
        <v>52</v>
      </c>
      <c r="C134" s="3">
        <v>45873</v>
      </c>
      <c r="D134" s="2">
        <v>542</v>
      </c>
      <c r="E134" s="2"/>
      <c r="F134" s="2"/>
    </row>
    <row r="135" spans="1:6" x14ac:dyDescent="0.25">
      <c r="B135" s="2" t="s">
        <v>52</v>
      </c>
      <c r="C135" s="3">
        <v>45887</v>
      </c>
      <c r="D135" s="2">
        <v>578</v>
      </c>
      <c r="E135" s="2"/>
      <c r="F135" s="2"/>
    </row>
    <row r="136" spans="1:6" x14ac:dyDescent="0.25">
      <c r="B136" s="2" t="s">
        <v>52</v>
      </c>
      <c r="C136" s="3">
        <v>45901</v>
      </c>
      <c r="D136" s="2">
        <v>535</v>
      </c>
      <c r="E136" s="2"/>
      <c r="F136" s="2"/>
    </row>
    <row r="137" spans="1:6" x14ac:dyDescent="0.25">
      <c r="B137" s="2" t="s">
        <v>52</v>
      </c>
      <c r="C137" s="3">
        <v>45915</v>
      </c>
      <c r="D137" s="2">
        <v>358</v>
      </c>
      <c r="E137" s="2"/>
      <c r="F137" s="2"/>
    </row>
    <row r="138" spans="1:6" x14ac:dyDescent="0.25">
      <c r="B138" s="2" t="s">
        <v>52</v>
      </c>
      <c r="C138" s="3">
        <v>45929</v>
      </c>
      <c r="D138" s="2">
        <v>674</v>
      </c>
      <c r="E138" s="2"/>
      <c r="F138" s="2"/>
    </row>
    <row r="139" spans="1:6" x14ac:dyDescent="0.25">
      <c r="B139" s="2" t="s">
        <v>52</v>
      </c>
      <c r="C139" s="3">
        <v>45943</v>
      </c>
      <c r="D139" s="2">
        <v>1700</v>
      </c>
      <c r="E139" s="2"/>
      <c r="F139" s="2"/>
    </row>
    <row r="140" spans="1:6" x14ac:dyDescent="0.25">
      <c r="A140" t="s">
        <v>53</v>
      </c>
      <c r="B140" s="2" t="s">
        <v>54</v>
      </c>
      <c r="C140" s="3">
        <v>45873</v>
      </c>
      <c r="D140" s="2">
        <v>2442</v>
      </c>
      <c r="E140" s="2"/>
      <c r="F140" s="2"/>
    </row>
    <row r="141" spans="1:6" x14ac:dyDescent="0.25">
      <c r="B141" s="2" t="s">
        <v>54</v>
      </c>
      <c r="C141" s="3">
        <v>45887</v>
      </c>
      <c r="D141" s="2">
        <v>479</v>
      </c>
      <c r="E141" s="2"/>
      <c r="F141" s="2"/>
    </row>
    <row r="142" spans="1:6" x14ac:dyDescent="0.25">
      <c r="B142" s="2" t="s">
        <v>54</v>
      </c>
      <c r="C142" s="3">
        <v>45901</v>
      </c>
      <c r="D142" s="2">
        <v>758</v>
      </c>
      <c r="E142" s="2"/>
      <c r="F142" s="2"/>
    </row>
    <row r="143" spans="1:6" x14ac:dyDescent="0.25">
      <c r="B143" s="2" t="s">
        <v>54</v>
      </c>
      <c r="C143" s="3">
        <v>45915</v>
      </c>
      <c r="D143" s="2">
        <v>128</v>
      </c>
      <c r="E143" s="2"/>
      <c r="F143" s="2"/>
    </row>
    <row r="144" spans="1:6" x14ac:dyDescent="0.25">
      <c r="B144" s="2" t="s">
        <v>54</v>
      </c>
      <c r="C144" s="3">
        <v>45929</v>
      </c>
      <c r="D144" s="2">
        <v>141</v>
      </c>
      <c r="E144" s="2"/>
      <c r="F144" s="2"/>
    </row>
    <row r="145" spans="1:6" x14ac:dyDescent="0.25">
      <c r="B145" s="2" t="s">
        <v>54</v>
      </c>
      <c r="C145" s="3">
        <v>45943</v>
      </c>
      <c r="D145" s="2">
        <v>296</v>
      </c>
      <c r="E145" s="2"/>
      <c r="F145" s="2"/>
    </row>
    <row r="146" spans="1:6" x14ac:dyDescent="0.25">
      <c r="A146" t="s">
        <v>55</v>
      </c>
      <c r="B146" s="2" t="s">
        <v>56</v>
      </c>
      <c r="C146" s="3">
        <v>45873</v>
      </c>
      <c r="D146" s="2">
        <v>139</v>
      </c>
      <c r="E146" s="2"/>
      <c r="F146" s="2"/>
    </row>
    <row r="147" spans="1:6" x14ac:dyDescent="0.25">
      <c r="B147" s="2" t="s">
        <v>56</v>
      </c>
      <c r="C147" s="3">
        <v>45887</v>
      </c>
      <c r="D147" s="2">
        <v>223</v>
      </c>
      <c r="E147" s="2"/>
      <c r="F147" s="2"/>
    </row>
    <row r="148" spans="1:6" x14ac:dyDescent="0.25">
      <c r="B148" s="2" t="s">
        <v>56</v>
      </c>
      <c r="C148" s="3">
        <v>45901</v>
      </c>
      <c r="D148" s="2">
        <v>567</v>
      </c>
      <c r="E148" s="2"/>
      <c r="F148" s="2"/>
    </row>
    <row r="149" spans="1:6" x14ac:dyDescent="0.25">
      <c r="B149" s="2" t="s">
        <v>56</v>
      </c>
      <c r="C149" s="3">
        <v>45915</v>
      </c>
      <c r="D149" s="2">
        <v>432</v>
      </c>
      <c r="E149" s="2"/>
      <c r="F149" s="2"/>
    </row>
    <row r="150" spans="1:6" x14ac:dyDescent="0.25">
      <c r="B150" s="2" t="s">
        <v>56</v>
      </c>
      <c r="C150" s="3">
        <v>45929</v>
      </c>
      <c r="D150" s="2">
        <v>115</v>
      </c>
      <c r="E150" s="2"/>
      <c r="F150" s="2"/>
    </row>
    <row r="151" spans="1:6" x14ac:dyDescent="0.25">
      <c r="B151" s="2" t="s">
        <v>56</v>
      </c>
      <c r="C151" s="3">
        <v>45943</v>
      </c>
      <c r="D151" s="2">
        <v>225</v>
      </c>
      <c r="E151" s="2"/>
      <c r="F151" s="2"/>
    </row>
    <row r="152" spans="1:6" x14ac:dyDescent="0.25">
      <c r="A152" t="s">
        <v>57</v>
      </c>
      <c r="B152" s="2" t="s">
        <v>58</v>
      </c>
      <c r="C152" s="3">
        <v>45873</v>
      </c>
      <c r="D152" s="2">
        <v>430</v>
      </c>
      <c r="E152" s="2"/>
      <c r="F152" s="2"/>
    </row>
    <row r="153" spans="1:6" x14ac:dyDescent="0.25">
      <c r="B153" s="2" t="s">
        <v>58</v>
      </c>
      <c r="C153" s="3">
        <v>45887</v>
      </c>
      <c r="D153" s="2">
        <v>759</v>
      </c>
      <c r="E153" s="2"/>
      <c r="F153" s="2"/>
    </row>
    <row r="154" spans="1:6" x14ac:dyDescent="0.25">
      <c r="B154" s="2" t="s">
        <v>58</v>
      </c>
      <c r="C154" s="3">
        <v>45901</v>
      </c>
      <c r="D154" s="2">
        <v>452</v>
      </c>
      <c r="E154" s="2"/>
      <c r="F154" s="2"/>
    </row>
    <row r="155" spans="1:6" x14ac:dyDescent="0.25">
      <c r="B155" s="2" t="s">
        <v>58</v>
      </c>
      <c r="C155" s="3">
        <v>45915</v>
      </c>
      <c r="D155" s="2">
        <v>427</v>
      </c>
      <c r="E155" s="2"/>
      <c r="F155" s="2"/>
    </row>
    <row r="156" spans="1:6" x14ac:dyDescent="0.25">
      <c r="B156" s="2" t="s">
        <v>58</v>
      </c>
      <c r="C156" s="3">
        <v>45929</v>
      </c>
      <c r="D156" s="2">
        <v>550</v>
      </c>
      <c r="E156" s="2"/>
      <c r="F156" s="2"/>
    </row>
    <row r="157" spans="1:6" x14ac:dyDescent="0.25">
      <c r="B157" s="2" t="s">
        <v>58</v>
      </c>
      <c r="C157" s="3">
        <v>45943</v>
      </c>
      <c r="D157" s="2">
        <v>1271</v>
      </c>
      <c r="E157" s="2"/>
      <c r="F157" s="2"/>
    </row>
    <row r="158" spans="1:6" x14ac:dyDescent="0.25">
      <c r="A158" t="s">
        <v>59</v>
      </c>
      <c r="B158" s="2" t="s">
        <v>60</v>
      </c>
      <c r="C158" s="3">
        <v>45873</v>
      </c>
      <c r="D158" s="2">
        <v>199</v>
      </c>
      <c r="E158" s="2"/>
      <c r="F158" s="2"/>
    </row>
    <row r="159" spans="1:6" x14ac:dyDescent="0.25">
      <c r="B159" s="2" t="s">
        <v>60</v>
      </c>
      <c r="C159" s="3">
        <v>45887</v>
      </c>
      <c r="D159" s="2">
        <v>891</v>
      </c>
      <c r="E159" s="2"/>
      <c r="F159" s="2"/>
    </row>
    <row r="160" spans="1:6" x14ac:dyDescent="0.25">
      <c r="B160" s="2" t="s">
        <v>60</v>
      </c>
      <c r="C160" s="3">
        <v>45901</v>
      </c>
      <c r="D160" s="2">
        <v>217</v>
      </c>
      <c r="E160" s="2"/>
      <c r="F160" s="2"/>
    </row>
    <row r="161" spans="1:6" x14ac:dyDescent="0.25">
      <c r="B161" s="2" t="s">
        <v>60</v>
      </c>
      <c r="C161" s="3">
        <v>45915</v>
      </c>
      <c r="D161" s="2">
        <v>229</v>
      </c>
      <c r="E161" s="2"/>
      <c r="F161" s="2"/>
    </row>
    <row r="162" spans="1:6" x14ac:dyDescent="0.25">
      <c r="B162" s="2" t="s">
        <v>60</v>
      </c>
      <c r="C162" s="3">
        <v>45929</v>
      </c>
      <c r="D162" s="2">
        <v>163</v>
      </c>
      <c r="E162" s="2"/>
      <c r="F162" s="2"/>
    </row>
    <row r="163" spans="1:6" x14ac:dyDescent="0.25">
      <c r="B163" s="2" t="s">
        <v>60</v>
      </c>
      <c r="C163" s="3">
        <v>45943</v>
      </c>
      <c r="D163" s="2">
        <v>246</v>
      </c>
      <c r="E163" s="2"/>
      <c r="F163" s="2"/>
    </row>
    <row r="164" spans="1:6" x14ac:dyDescent="0.25">
      <c r="A164" t="s">
        <v>61</v>
      </c>
      <c r="B164" s="2" t="s">
        <v>62</v>
      </c>
      <c r="C164" s="3">
        <v>45873</v>
      </c>
      <c r="D164" s="2">
        <v>76</v>
      </c>
      <c r="E164" s="2"/>
      <c r="F164" s="2"/>
    </row>
    <row r="165" spans="1:6" x14ac:dyDescent="0.25">
      <c r="B165" s="2" t="s">
        <v>62</v>
      </c>
      <c r="C165" s="3">
        <v>45887</v>
      </c>
      <c r="D165" s="2">
        <v>141</v>
      </c>
      <c r="E165" s="2"/>
      <c r="F165" s="2"/>
    </row>
    <row r="166" spans="1:6" x14ac:dyDescent="0.25">
      <c r="B166" s="2" t="s">
        <v>62</v>
      </c>
      <c r="C166" s="3">
        <v>45901</v>
      </c>
      <c r="D166" s="2">
        <v>72</v>
      </c>
      <c r="E166" s="2"/>
      <c r="F166" s="2"/>
    </row>
    <row r="167" spans="1:6" x14ac:dyDescent="0.25">
      <c r="B167" s="2" t="s">
        <v>62</v>
      </c>
      <c r="C167" s="3">
        <v>45915</v>
      </c>
      <c r="D167" s="2">
        <v>56</v>
      </c>
      <c r="E167" s="2"/>
      <c r="F167" s="2"/>
    </row>
    <row r="168" spans="1:6" x14ac:dyDescent="0.25">
      <c r="B168" s="2" t="s">
        <v>62</v>
      </c>
      <c r="C168" s="3">
        <v>45929</v>
      </c>
      <c r="D168" s="2">
        <v>67</v>
      </c>
      <c r="E168" s="2"/>
      <c r="F168" s="2"/>
    </row>
    <row r="169" spans="1:6" x14ac:dyDescent="0.25">
      <c r="B169" s="2" t="s">
        <v>62</v>
      </c>
      <c r="C169" s="3">
        <v>45943</v>
      </c>
      <c r="D169" s="2">
        <v>153</v>
      </c>
      <c r="E169" s="2"/>
      <c r="F169" s="2"/>
    </row>
    <row r="170" spans="1:6" x14ac:dyDescent="0.25">
      <c r="A170" t="s">
        <v>63</v>
      </c>
      <c r="B170" s="2" t="s">
        <v>64</v>
      </c>
      <c r="C170" s="3">
        <v>45873</v>
      </c>
      <c r="D170" s="2">
        <v>159</v>
      </c>
      <c r="E170" s="2"/>
      <c r="F170" s="2"/>
    </row>
    <row r="171" spans="1:6" x14ac:dyDescent="0.25">
      <c r="B171" s="2" t="s">
        <v>64</v>
      </c>
      <c r="C171" s="3">
        <v>45887</v>
      </c>
      <c r="D171" s="2">
        <v>192</v>
      </c>
      <c r="E171" s="2"/>
      <c r="F171" s="2"/>
    </row>
    <row r="172" spans="1:6" x14ac:dyDescent="0.25">
      <c r="B172" s="2" t="s">
        <v>64</v>
      </c>
      <c r="C172" s="3">
        <v>45901</v>
      </c>
      <c r="D172" s="2">
        <v>166</v>
      </c>
      <c r="E172" s="2"/>
      <c r="F172" s="2"/>
    </row>
    <row r="173" spans="1:6" x14ac:dyDescent="0.25">
      <c r="B173" s="2" t="s">
        <v>64</v>
      </c>
      <c r="C173" s="3">
        <v>45915</v>
      </c>
      <c r="D173" s="2">
        <v>151</v>
      </c>
      <c r="E173" s="2"/>
      <c r="F173" s="2"/>
    </row>
    <row r="174" spans="1:6" x14ac:dyDescent="0.25">
      <c r="B174" s="2" t="s">
        <v>64</v>
      </c>
      <c r="C174" s="3">
        <v>45929</v>
      </c>
      <c r="D174" s="2">
        <v>190</v>
      </c>
      <c r="E174" s="2"/>
      <c r="F174" s="2"/>
    </row>
    <row r="175" spans="1:6" x14ac:dyDescent="0.25">
      <c r="B175" s="2" t="s">
        <v>64</v>
      </c>
      <c r="C175" s="3">
        <v>45943</v>
      </c>
      <c r="D175" s="2">
        <v>219</v>
      </c>
      <c r="E175" s="2"/>
      <c r="F175" s="2"/>
    </row>
    <row r="176" spans="1:6" x14ac:dyDescent="0.25">
      <c r="A176" t="s">
        <v>65</v>
      </c>
      <c r="B176" s="2" t="s">
        <v>66</v>
      </c>
      <c r="C176" s="3">
        <v>45873</v>
      </c>
      <c r="D176" s="2">
        <v>1002</v>
      </c>
      <c r="E176" s="2"/>
      <c r="F176" s="2"/>
    </row>
    <row r="177" spans="1:6" x14ac:dyDescent="0.25">
      <c r="B177" s="2" t="s">
        <v>66</v>
      </c>
      <c r="C177" s="3">
        <v>45887</v>
      </c>
      <c r="D177" s="2">
        <v>532</v>
      </c>
      <c r="E177" s="2"/>
      <c r="F177" s="2"/>
    </row>
    <row r="178" spans="1:6" x14ac:dyDescent="0.25">
      <c r="B178" s="2" t="s">
        <v>66</v>
      </c>
      <c r="C178" s="3">
        <v>45901</v>
      </c>
      <c r="D178" s="2">
        <v>258</v>
      </c>
      <c r="E178" s="2"/>
      <c r="F178" s="2"/>
    </row>
    <row r="179" spans="1:6" x14ac:dyDescent="0.25">
      <c r="B179" s="2" t="s">
        <v>66</v>
      </c>
      <c r="C179" s="3">
        <v>45915</v>
      </c>
      <c r="D179" s="2">
        <v>174</v>
      </c>
      <c r="E179" s="2"/>
      <c r="F179" s="2"/>
    </row>
    <row r="180" spans="1:6" x14ac:dyDescent="0.25">
      <c r="B180" s="2" t="s">
        <v>66</v>
      </c>
      <c r="C180" s="3">
        <v>45929</v>
      </c>
      <c r="D180" s="2">
        <v>202</v>
      </c>
      <c r="E180" s="2"/>
      <c r="F180" s="2"/>
    </row>
    <row r="181" spans="1:6" x14ac:dyDescent="0.25">
      <c r="B181" s="2" t="s">
        <v>66</v>
      </c>
      <c r="C181" s="3">
        <v>45943</v>
      </c>
      <c r="D181" s="2">
        <v>176</v>
      </c>
      <c r="E181" s="2"/>
      <c r="F181" s="2"/>
    </row>
    <row r="182" spans="1:6" x14ac:dyDescent="0.25">
      <c r="A182" t="s">
        <v>67</v>
      </c>
      <c r="B182" s="2" t="s">
        <v>68</v>
      </c>
      <c r="C182" s="3">
        <v>45873</v>
      </c>
      <c r="D182" s="2">
        <v>2773</v>
      </c>
      <c r="E182" s="2"/>
      <c r="F182" s="2"/>
    </row>
    <row r="183" spans="1:6" x14ac:dyDescent="0.25">
      <c r="B183" s="2" t="s">
        <v>68</v>
      </c>
      <c r="C183" s="3">
        <v>45887</v>
      </c>
      <c r="D183" s="2">
        <v>1775</v>
      </c>
      <c r="E183" s="2"/>
      <c r="F183" s="2"/>
    </row>
    <row r="184" spans="1:6" x14ac:dyDescent="0.25">
      <c r="B184" s="2" t="s">
        <v>68</v>
      </c>
      <c r="C184" s="3">
        <v>45901</v>
      </c>
      <c r="D184" s="2">
        <v>1423</v>
      </c>
      <c r="E184" s="2"/>
      <c r="F184" s="2"/>
    </row>
    <row r="185" spans="1:6" x14ac:dyDescent="0.25">
      <c r="B185" s="2" t="s">
        <v>68</v>
      </c>
      <c r="C185" s="3">
        <v>45915</v>
      </c>
      <c r="D185" s="2">
        <v>419</v>
      </c>
      <c r="E185" s="2"/>
      <c r="F185" s="2"/>
    </row>
    <row r="186" spans="1:6" x14ac:dyDescent="0.25">
      <c r="B186" s="2" t="s">
        <v>68</v>
      </c>
      <c r="C186" s="3">
        <v>45929</v>
      </c>
      <c r="D186" s="2">
        <v>356</v>
      </c>
      <c r="E186" s="2"/>
      <c r="F186" s="2"/>
    </row>
    <row r="187" spans="1:6" x14ac:dyDescent="0.25">
      <c r="B187" s="2" t="s">
        <v>68</v>
      </c>
      <c r="C187" s="3">
        <v>45943</v>
      </c>
      <c r="D187" s="2">
        <v>646</v>
      </c>
      <c r="E187" s="2"/>
      <c r="F187" s="2"/>
    </row>
    <row r="188" spans="1:6" x14ac:dyDescent="0.25">
      <c r="A188" t="s">
        <v>69</v>
      </c>
      <c r="B188" s="2" t="s">
        <v>70</v>
      </c>
      <c r="C188" s="3">
        <v>45873</v>
      </c>
      <c r="D188" s="2">
        <v>11802</v>
      </c>
      <c r="E188" s="2"/>
      <c r="F188" s="2"/>
    </row>
    <row r="189" spans="1:6" x14ac:dyDescent="0.25">
      <c r="B189" s="2" t="s">
        <v>70</v>
      </c>
      <c r="C189" s="3">
        <v>45887</v>
      </c>
      <c r="D189" s="2">
        <v>4203</v>
      </c>
      <c r="E189" s="2"/>
      <c r="F189" s="2"/>
    </row>
    <row r="190" spans="1:6" x14ac:dyDescent="0.25">
      <c r="B190" s="2" t="s">
        <v>70</v>
      </c>
      <c r="C190" s="3">
        <v>45901</v>
      </c>
      <c r="D190" s="2">
        <v>3240</v>
      </c>
      <c r="E190" s="2"/>
      <c r="F190" s="2"/>
    </row>
    <row r="191" spans="1:6" x14ac:dyDescent="0.25">
      <c r="B191" s="2" t="s">
        <v>70</v>
      </c>
      <c r="C191" s="3">
        <v>45915</v>
      </c>
      <c r="D191" s="2">
        <v>3288</v>
      </c>
      <c r="E191" s="2"/>
      <c r="F191" s="2"/>
    </row>
    <row r="192" spans="1:6" x14ac:dyDescent="0.25">
      <c r="B192" s="2" t="s">
        <v>70</v>
      </c>
      <c r="C192" s="3">
        <v>45929</v>
      </c>
      <c r="D192" s="2">
        <v>3286</v>
      </c>
      <c r="E192" s="2"/>
      <c r="F192" s="2"/>
    </row>
    <row r="193" spans="1:6" x14ac:dyDescent="0.25">
      <c r="B193" s="2" t="s">
        <v>70</v>
      </c>
      <c r="C193" s="3">
        <v>45943</v>
      </c>
      <c r="D193" s="2">
        <v>6633</v>
      </c>
      <c r="E193" s="2"/>
      <c r="F193" s="2"/>
    </row>
    <row r="194" spans="1:6" x14ac:dyDescent="0.25">
      <c r="A194" t="s">
        <v>71</v>
      </c>
      <c r="B194" s="2" t="s">
        <v>72</v>
      </c>
      <c r="C194" s="3">
        <v>45873</v>
      </c>
      <c r="D194" s="2">
        <v>108</v>
      </c>
      <c r="E194" s="2"/>
      <c r="F194" s="2"/>
    </row>
    <row r="195" spans="1:6" x14ac:dyDescent="0.25">
      <c r="B195" s="2" t="s">
        <v>72</v>
      </c>
      <c r="C195" s="3">
        <v>45887</v>
      </c>
      <c r="D195" s="2">
        <v>177</v>
      </c>
      <c r="E195" s="2"/>
      <c r="F195" s="2"/>
    </row>
    <row r="196" spans="1:6" x14ac:dyDescent="0.25">
      <c r="B196" s="2" t="s">
        <v>72</v>
      </c>
      <c r="C196" s="3">
        <v>45901</v>
      </c>
      <c r="D196" s="2">
        <v>233</v>
      </c>
      <c r="E196" s="2"/>
      <c r="F196" s="2"/>
    </row>
    <row r="197" spans="1:6" x14ac:dyDescent="0.25">
      <c r="B197" s="2" t="s">
        <v>72</v>
      </c>
      <c r="C197" s="3">
        <v>45915</v>
      </c>
      <c r="D197" s="2">
        <v>268</v>
      </c>
      <c r="E197" s="2"/>
      <c r="F197" s="2"/>
    </row>
    <row r="198" spans="1:6" x14ac:dyDescent="0.25">
      <c r="B198" s="2" t="s">
        <v>72</v>
      </c>
      <c r="C198" s="3">
        <v>45929</v>
      </c>
      <c r="D198" s="2">
        <v>218</v>
      </c>
      <c r="E198" s="2"/>
      <c r="F198" s="2"/>
    </row>
    <row r="199" spans="1:6" x14ac:dyDescent="0.25">
      <c r="B199" s="2" t="s">
        <v>72</v>
      </c>
      <c r="C199" s="3">
        <v>45943</v>
      </c>
      <c r="D199" s="2">
        <v>121</v>
      </c>
      <c r="E199" s="2"/>
      <c r="F199" s="2"/>
    </row>
    <row r="200" spans="1:6" x14ac:dyDescent="0.25">
      <c r="A200" t="s">
        <v>73</v>
      </c>
      <c r="B200" s="2" t="s">
        <v>74</v>
      </c>
      <c r="C200" s="3">
        <v>45873</v>
      </c>
      <c r="D200" s="2">
        <v>2221</v>
      </c>
      <c r="E200" s="2"/>
      <c r="F200" s="2"/>
    </row>
    <row r="201" spans="1:6" x14ac:dyDescent="0.25">
      <c r="B201" s="2" t="s">
        <v>74</v>
      </c>
      <c r="C201" s="3">
        <v>45887</v>
      </c>
      <c r="D201" s="2">
        <v>1012</v>
      </c>
      <c r="E201" s="2"/>
      <c r="F201" s="2"/>
    </row>
    <row r="202" spans="1:6" x14ac:dyDescent="0.25">
      <c r="B202" s="2" t="s">
        <v>74</v>
      </c>
      <c r="C202" s="3">
        <v>45901</v>
      </c>
      <c r="D202" s="2">
        <v>835</v>
      </c>
      <c r="E202" s="2"/>
      <c r="F202" s="2"/>
    </row>
    <row r="203" spans="1:6" x14ac:dyDescent="0.25">
      <c r="B203" s="2" t="s">
        <v>74</v>
      </c>
      <c r="C203" s="3">
        <v>45915</v>
      </c>
      <c r="D203" s="2">
        <v>295</v>
      </c>
      <c r="E203" s="2"/>
      <c r="F203" s="2"/>
    </row>
    <row r="204" spans="1:6" x14ac:dyDescent="0.25">
      <c r="B204" s="2" t="s">
        <v>74</v>
      </c>
      <c r="C204" s="3">
        <v>45929</v>
      </c>
      <c r="D204" s="2">
        <v>157</v>
      </c>
      <c r="E204" s="2"/>
      <c r="F204" s="2"/>
    </row>
    <row r="205" spans="1:6" x14ac:dyDescent="0.25">
      <c r="B205" s="2" t="s">
        <v>74</v>
      </c>
      <c r="C205" s="3">
        <v>45943</v>
      </c>
      <c r="D205" s="2">
        <v>277</v>
      </c>
      <c r="E205" s="2"/>
      <c r="F205" s="2"/>
    </row>
    <row r="206" spans="1:6" x14ac:dyDescent="0.25">
      <c r="A206" t="s">
        <v>75</v>
      </c>
      <c r="B206" s="2" t="s">
        <v>76</v>
      </c>
      <c r="C206" s="3">
        <v>45873</v>
      </c>
      <c r="D206" s="2">
        <v>119</v>
      </c>
      <c r="E206" s="2"/>
      <c r="F206" s="2"/>
    </row>
    <row r="207" spans="1:6" x14ac:dyDescent="0.25">
      <c r="B207" s="2" t="s">
        <v>76</v>
      </c>
      <c r="C207" s="3">
        <v>45887</v>
      </c>
      <c r="D207" s="2">
        <v>198</v>
      </c>
      <c r="E207" s="2"/>
      <c r="F207" s="2"/>
    </row>
    <row r="208" spans="1:6" x14ac:dyDescent="0.25">
      <c r="B208" s="2" t="s">
        <v>76</v>
      </c>
      <c r="C208" s="3">
        <v>45901</v>
      </c>
      <c r="D208" s="2">
        <v>329</v>
      </c>
      <c r="E208" s="2"/>
      <c r="F208" s="2"/>
    </row>
    <row r="209" spans="1:6" x14ac:dyDescent="0.25">
      <c r="B209" s="2" t="s">
        <v>76</v>
      </c>
      <c r="C209" s="3">
        <v>45915</v>
      </c>
      <c r="D209" s="2">
        <v>191</v>
      </c>
      <c r="E209" s="2"/>
      <c r="F209" s="2"/>
    </row>
    <row r="210" spans="1:6" x14ac:dyDescent="0.25">
      <c r="B210" s="2" t="s">
        <v>76</v>
      </c>
      <c r="C210" s="3">
        <v>45929</v>
      </c>
      <c r="D210" s="2">
        <v>153</v>
      </c>
      <c r="E210" s="2"/>
      <c r="F210" s="2"/>
    </row>
    <row r="211" spans="1:6" x14ac:dyDescent="0.25">
      <c r="B211" s="2" t="s">
        <v>76</v>
      </c>
      <c r="C211" s="3">
        <v>45943</v>
      </c>
      <c r="D211" s="2">
        <v>234</v>
      </c>
      <c r="E211" s="2"/>
      <c r="F211" s="2"/>
    </row>
    <row r="212" spans="1:6" x14ac:dyDescent="0.25">
      <c r="A212" t="s">
        <v>77</v>
      </c>
      <c r="B212" s="2" t="s">
        <v>78</v>
      </c>
      <c r="C212" s="3">
        <v>45873</v>
      </c>
      <c r="D212" s="2">
        <v>184</v>
      </c>
      <c r="E212" s="2"/>
      <c r="F212" s="2"/>
    </row>
    <row r="213" spans="1:6" x14ac:dyDescent="0.25">
      <c r="B213" s="2" t="s">
        <v>78</v>
      </c>
      <c r="C213" s="3">
        <v>45887</v>
      </c>
      <c r="D213" s="2">
        <v>135</v>
      </c>
      <c r="E213" s="2"/>
      <c r="F213" s="2"/>
    </row>
    <row r="214" spans="1:6" x14ac:dyDescent="0.25">
      <c r="B214" s="2" t="s">
        <v>78</v>
      </c>
      <c r="C214" s="3">
        <v>45901</v>
      </c>
      <c r="D214" s="2">
        <v>180</v>
      </c>
      <c r="E214" s="2"/>
      <c r="F214" s="2"/>
    </row>
    <row r="215" spans="1:6" x14ac:dyDescent="0.25">
      <c r="B215" s="2" t="s">
        <v>78</v>
      </c>
      <c r="C215" s="3">
        <v>45915</v>
      </c>
      <c r="D215" s="2">
        <v>126</v>
      </c>
      <c r="E215" s="2"/>
      <c r="F215" s="2"/>
    </row>
    <row r="216" spans="1:6" x14ac:dyDescent="0.25">
      <c r="B216" s="2" t="s">
        <v>78</v>
      </c>
      <c r="C216" s="3">
        <v>45929</v>
      </c>
      <c r="D216" s="2">
        <v>133</v>
      </c>
      <c r="E216" s="2"/>
      <c r="F216" s="2"/>
    </row>
    <row r="217" spans="1:6" x14ac:dyDescent="0.25">
      <c r="B217" s="2" t="s">
        <v>78</v>
      </c>
      <c r="C217" s="3">
        <v>45943</v>
      </c>
      <c r="D217" s="2">
        <v>161</v>
      </c>
      <c r="E217" s="2"/>
      <c r="F217" s="2"/>
    </row>
    <row r="218" spans="1:6" x14ac:dyDescent="0.25">
      <c r="A218" t="s">
        <v>79</v>
      </c>
      <c r="B218" s="2" t="s">
        <v>80</v>
      </c>
      <c r="C218" s="3">
        <v>45873</v>
      </c>
      <c r="D218" s="2">
        <v>137</v>
      </c>
      <c r="E218" s="2"/>
      <c r="F218" s="2"/>
    </row>
    <row r="219" spans="1:6" x14ac:dyDescent="0.25">
      <c r="B219" s="2" t="s">
        <v>80</v>
      </c>
      <c r="C219" s="3">
        <v>45887</v>
      </c>
      <c r="D219" s="2">
        <v>149</v>
      </c>
      <c r="E219" s="2"/>
      <c r="F219" s="2"/>
    </row>
    <row r="220" spans="1:6" x14ac:dyDescent="0.25">
      <c r="B220" s="2" t="s">
        <v>80</v>
      </c>
      <c r="C220" s="3">
        <v>45901</v>
      </c>
      <c r="D220" s="2">
        <v>522</v>
      </c>
      <c r="E220" s="2"/>
      <c r="F220" s="2"/>
    </row>
    <row r="221" spans="1:6" x14ac:dyDescent="0.25">
      <c r="B221" s="2" t="s">
        <v>80</v>
      </c>
      <c r="C221" s="3">
        <v>45915</v>
      </c>
      <c r="D221" s="2">
        <v>139</v>
      </c>
      <c r="E221" s="2"/>
      <c r="F221" s="2"/>
    </row>
    <row r="222" spans="1:6" x14ac:dyDescent="0.25">
      <c r="B222" s="2" t="s">
        <v>80</v>
      </c>
      <c r="C222" s="3">
        <v>45929</v>
      </c>
      <c r="D222" s="2">
        <v>125</v>
      </c>
      <c r="E222" s="2"/>
      <c r="F222" s="2"/>
    </row>
    <row r="223" spans="1:6" x14ac:dyDescent="0.25">
      <c r="B223" s="2" t="s">
        <v>80</v>
      </c>
      <c r="C223" s="3">
        <v>45943</v>
      </c>
      <c r="D223" s="2">
        <v>188</v>
      </c>
      <c r="E223" s="2"/>
      <c r="F223" s="2"/>
    </row>
    <row r="224" spans="1:6" x14ac:dyDescent="0.25">
      <c r="A224" t="s">
        <v>81</v>
      </c>
      <c r="B224" s="2" t="s">
        <v>82</v>
      </c>
      <c r="C224" s="3">
        <v>45873</v>
      </c>
      <c r="D224" s="2">
        <v>589</v>
      </c>
      <c r="E224" s="2"/>
      <c r="F224" s="2"/>
    </row>
    <row r="225" spans="1:6" x14ac:dyDescent="0.25">
      <c r="B225" s="2" t="s">
        <v>82</v>
      </c>
      <c r="C225" s="3">
        <v>45887</v>
      </c>
      <c r="D225" s="2">
        <v>809</v>
      </c>
      <c r="E225" s="2"/>
      <c r="F225" s="2"/>
    </row>
    <row r="226" spans="1:6" x14ac:dyDescent="0.25">
      <c r="B226" s="2" t="s">
        <v>82</v>
      </c>
      <c r="C226" s="3">
        <v>45901</v>
      </c>
      <c r="D226" s="2">
        <v>308</v>
      </c>
      <c r="E226" s="2"/>
      <c r="F226" s="2"/>
    </row>
    <row r="227" spans="1:6" x14ac:dyDescent="0.25">
      <c r="B227" s="2" t="s">
        <v>82</v>
      </c>
      <c r="C227" s="3">
        <v>45915</v>
      </c>
      <c r="D227" s="2">
        <v>606</v>
      </c>
      <c r="E227" s="2"/>
      <c r="F227" s="2"/>
    </row>
    <row r="228" spans="1:6" x14ac:dyDescent="0.25">
      <c r="B228" s="2" t="s">
        <v>82</v>
      </c>
      <c r="C228" s="3">
        <v>45929</v>
      </c>
      <c r="D228" s="2">
        <v>268</v>
      </c>
      <c r="E228" s="2"/>
      <c r="F228" s="2"/>
    </row>
    <row r="229" spans="1:6" x14ac:dyDescent="0.25">
      <c r="B229" s="2" t="s">
        <v>82</v>
      </c>
      <c r="C229" s="3">
        <v>45943</v>
      </c>
      <c r="D229" s="2">
        <v>868</v>
      </c>
      <c r="E229" s="2"/>
      <c r="F229" s="2"/>
    </row>
    <row r="230" spans="1:6" x14ac:dyDescent="0.25">
      <c r="A230" t="s">
        <v>83</v>
      </c>
      <c r="B230" s="2" t="s">
        <v>84</v>
      </c>
      <c r="C230" s="3">
        <v>45873</v>
      </c>
      <c r="D230" s="2">
        <v>145</v>
      </c>
      <c r="E230" s="2"/>
      <c r="F230" s="2"/>
    </row>
    <row r="231" spans="1:6" x14ac:dyDescent="0.25">
      <c r="B231" s="2" t="s">
        <v>84</v>
      </c>
      <c r="C231" s="3">
        <v>45887</v>
      </c>
      <c r="D231" s="2">
        <v>174</v>
      </c>
      <c r="E231" s="2"/>
      <c r="F231" s="2"/>
    </row>
    <row r="232" spans="1:6" x14ac:dyDescent="0.25">
      <c r="B232" s="2" t="s">
        <v>84</v>
      </c>
      <c r="C232" s="3">
        <v>45901</v>
      </c>
      <c r="D232" s="2">
        <v>170</v>
      </c>
      <c r="E232" s="2"/>
      <c r="F232" s="2"/>
    </row>
    <row r="233" spans="1:6" x14ac:dyDescent="0.25">
      <c r="B233" s="2" t="s">
        <v>84</v>
      </c>
      <c r="C233" s="3">
        <v>45915</v>
      </c>
      <c r="D233" s="2">
        <v>148</v>
      </c>
      <c r="E233" s="2"/>
      <c r="F233" s="2"/>
    </row>
    <row r="234" spans="1:6" x14ac:dyDescent="0.25">
      <c r="B234" s="2" t="s">
        <v>84</v>
      </c>
      <c r="C234" s="3">
        <v>45929</v>
      </c>
      <c r="D234" s="2">
        <v>101</v>
      </c>
      <c r="E234" s="2"/>
      <c r="F234" s="2"/>
    </row>
    <row r="235" spans="1:6" x14ac:dyDescent="0.25">
      <c r="B235" s="2" t="s">
        <v>84</v>
      </c>
      <c r="C235" s="3">
        <v>45943</v>
      </c>
      <c r="D235" s="2">
        <v>112</v>
      </c>
      <c r="E235" s="2"/>
      <c r="F235" s="2"/>
    </row>
    <row r="236" spans="1:6" x14ac:dyDescent="0.25">
      <c r="A236" t="s">
        <v>85</v>
      </c>
      <c r="B236" s="2" t="s">
        <v>86</v>
      </c>
      <c r="C236" s="3">
        <v>45873</v>
      </c>
      <c r="D236" s="2">
        <v>451</v>
      </c>
      <c r="E236" s="2"/>
      <c r="F236" s="2"/>
    </row>
    <row r="237" spans="1:6" x14ac:dyDescent="0.25">
      <c r="B237" s="2" t="s">
        <v>86</v>
      </c>
      <c r="C237" s="3">
        <v>45887</v>
      </c>
      <c r="D237" s="2">
        <v>552</v>
      </c>
      <c r="E237" s="2"/>
      <c r="F237" s="2"/>
    </row>
    <row r="238" spans="1:6" x14ac:dyDescent="0.25">
      <c r="B238" s="2" t="s">
        <v>86</v>
      </c>
      <c r="C238" s="3">
        <v>45901</v>
      </c>
      <c r="D238" s="2">
        <v>556</v>
      </c>
      <c r="E238" s="2"/>
      <c r="F238" s="2"/>
    </row>
    <row r="239" spans="1:6" x14ac:dyDescent="0.25">
      <c r="B239" s="2" t="s">
        <v>86</v>
      </c>
      <c r="C239" s="3">
        <v>45915</v>
      </c>
      <c r="D239" s="2">
        <v>327</v>
      </c>
      <c r="E239" s="2"/>
      <c r="F239" s="2"/>
    </row>
    <row r="240" spans="1:6" x14ac:dyDescent="0.25">
      <c r="B240" s="2" t="s">
        <v>86</v>
      </c>
      <c r="C240" s="3">
        <v>45929</v>
      </c>
      <c r="D240" s="2">
        <v>568</v>
      </c>
      <c r="E240" s="2"/>
      <c r="F240" s="2"/>
    </row>
    <row r="241" spans="1:6" x14ac:dyDescent="0.25">
      <c r="B241" s="2" t="s">
        <v>86</v>
      </c>
      <c r="C241" s="3">
        <v>45943</v>
      </c>
      <c r="D241" s="2">
        <v>386</v>
      </c>
      <c r="E241" s="2"/>
      <c r="F241" s="2"/>
    </row>
    <row r="242" spans="1:6" x14ac:dyDescent="0.25">
      <c r="A242" t="s">
        <v>87</v>
      </c>
      <c r="B242" s="2" t="s">
        <v>88</v>
      </c>
      <c r="C242" s="3">
        <v>45873</v>
      </c>
      <c r="D242" s="2">
        <v>142</v>
      </c>
      <c r="E242" s="2"/>
      <c r="F242" s="2"/>
    </row>
    <row r="243" spans="1:6" x14ac:dyDescent="0.25">
      <c r="B243" s="2" t="s">
        <v>88</v>
      </c>
      <c r="C243" s="3">
        <v>45887</v>
      </c>
      <c r="D243" s="2">
        <v>159</v>
      </c>
      <c r="E243" s="2"/>
      <c r="F243" s="2"/>
    </row>
    <row r="244" spans="1:6" x14ac:dyDescent="0.25">
      <c r="B244" s="2" t="s">
        <v>88</v>
      </c>
      <c r="C244" s="3">
        <v>45901</v>
      </c>
      <c r="D244" s="2">
        <v>540</v>
      </c>
      <c r="E244" s="2"/>
      <c r="F244" s="2"/>
    </row>
    <row r="245" spans="1:6" x14ac:dyDescent="0.25">
      <c r="B245" s="2" t="s">
        <v>88</v>
      </c>
      <c r="C245" s="3">
        <v>45915</v>
      </c>
      <c r="D245" s="2">
        <v>174</v>
      </c>
      <c r="E245" s="2"/>
      <c r="F245" s="2"/>
    </row>
    <row r="246" spans="1:6" x14ac:dyDescent="0.25">
      <c r="B246" s="2" t="s">
        <v>88</v>
      </c>
      <c r="C246" s="3">
        <v>45929</v>
      </c>
      <c r="D246" s="2">
        <v>131</v>
      </c>
      <c r="E246" s="2"/>
      <c r="F246" s="2"/>
    </row>
    <row r="247" spans="1:6" x14ac:dyDescent="0.25">
      <c r="B247" s="2" t="s">
        <v>88</v>
      </c>
      <c r="C247" s="3">
        <v>45943</v>
      </c>
      <c r="D247" s="2">
        <v>155</v>
      </c>
      <c r="E247" s="2"/>
      <c r="F247" s="2"/>
    </row>
    <row r="248" spans="1:6" x14ac:dyDescent="0.25">
      <c r="A248" t="s">
        <v>89</v>
      </c>
      <c r="B248" s="2" t="s">
        <v>90</v>
      </c>
      <c r="C248" s="3">
        <v>45873</v>
      </c>
      <c r="D248" s="2">
        <v>117</v>
      </c>
      <c r="E248" s="2"/>
      <c r="F248" s="2"/>
    </row>
    <row r="249" spans="1:6" x14ac:dyDescent="0.25">
      <c r="B249" s="2" t="s">
        <v>90</v>
      </c>
      <c r="C249" s="3">
        <v>45887</v>
      </c>
      <c r="D249" s="2">
        <v>300</v>
      </c>
      <c r="E249" s="2"/>
      <c r="F249" s="2"/>
    </row>
    <row r="250" spans="1:6" x14ac:dyDescent="0.25">
      <c r="B250" s="2" t="s">
        <v>90</v>
      </c>
      <c r="C250" s="3">
        <v>45901</v>
      </c>
      <c r="D250" s="2">
        <v>154</v>
      </c>
      <c r="E250" s="2"/>
      <c r="F250" s="2"/>
    </row>
    <row r="251" spans="1:6" x14ac:dyDescent="0.25">
      <c r="B251" s="2" t="s">
        <v>90</v>
      </c>
      <c r="C251" s="3">
        <v>45915</v>
      </c>
      <c r="D251" s="2">
        <v>122</v>
      </c>
      <c r="E251" s="2"/>
      <c r="F251" s="2"/>
    </row>
    <row r="252" spans="1:6" x14ac:dyDescent="0.25">
      <c r="B252" s="2" t="s">
        <v>90</v>
      </c>
      <c r="C252" s="3">
        <v>45929</v>
      </c>
      <c r="D252" s="2">
        <v>136</v>
      </c>
      <c r="E252" s="2"/>
      <c r="F252" s="2"/>
    </row>
    <row r="253" spans="1:6" x14ac:dyDescent="0.25">
      <c r="B253" s="2" t="s">
        <v>90</v>
      </c>
      <c r="C253" s="3">
        <v>45943</v>
      </c>
      <c r="D253" s="2">
        <v>178</v>
      </c>
      <c r="E253" s="2"/>
      <c r="F253" s="2"/>
    </row>
    <row r="254" spans="1:6" x14ac:dyDescent="0.25">
      <c r="A254" t="s">
        <v>91</v>
      </c>
      <c r="B254" s="2" t="s">
        <v>92</v>
      </c>
      <c r="C254" s="3">
        <v>45873</v>
      </c>
      <c r="D254" s="2">
        <v>120</v>
      </c>
      <c r="E254" s="2"/>
      <c r="F254" s="2"/>
    </row>
    <row r="255" spans="1:6" x14ac:dyDescent="0.25">
      <c r="B255" s="2" t="s">
        <v>92</v>
      </c>
      <c r="C255" s="3">
        <v>45887</v>
      </c>
      <c r="D255" s="2">
        <v>118</v>
      </c>
      <c r="E255" s="2"/>
      <c r="F255" s="2"/>
    </row>
    <row r="256" spans="1:6" x14ac:dyDescent="0.25">
      <c r="B256" s="2" t="s">
        <v>92</v>
      </c>
      <c r="C256" s="3">
        <v>45901</v>
      </c>
      <c r="D256" s="2">
        <v>114</v>
      </c>
      <c r="E256" s="2"/>
      <c r="F256" s="2"/>
    </row>
    <row r="257" spans="1:6" x14ac:dyDescent="0.25">
      <c r="B257" s="2" t="s">
        <v>92</v>
      </c>
      <c r="C257" s="3">
        <v>45915</v>
      </c>
      <c r="D257" s="2">
        <v>127</v>
      </c>
      <c r="E257" s="2"/>
      <c r="F257" s="2"/>
    </row>
    <row r="258" spans="1:6" x14ac:dyDescent="0.25">
      <c r="B258" s="2" t="s">
        <v>92</v>
      </c>
      <c r="C258" s="3">
        <v>45929</v>
      </c>
      <c r="D258" s="2">
        <v>40</v>
      </c>
      <c r="E258" s="2"/>
      <c r="F258" s="2"/>
    </row>
    <row r="259" spans="1:6" x14ac:dyDescent="0.25">
      <c r="B259" s="2" t="s">
        <v>92</v>
      </c>
      <c r="C259" s="3">
        <v>45943</v>
      </c>
      <c r="D259" s="2">
        <v>104</v>
      </c>
      <c r="E259" s="2"/>
      <c r="F259" s="2"/>
    </row>
    <row r="260" spans="1:6" x14ac:dyDescent="0.25">
      <c r="A260" t="s">
        <v>93</v>
      </c>
      <c r="B260" s="2" t="s">
        <v>94</v>
      </c>
      <c r="C260" s="3">
        <v>45873</v>
      </c>
      <c r="D260" s="2">
        <v>200</v>
      </c>
      <c r="E260" s="2"/>
      <c r="F260" s="2"/>
    </row>
    <row r="261" spans="1:6" x14ac:dyDescent="0.25">
      <c r="B261" s="2" t="s">
        <v>94</v>
      </c>
      <c r="C261" s="3">
        <v>45887</v>
      </c>
      <c r="D261" s="2">
        <v>186</v>
      </c>
      <c r="E261" s="2"/>
      <c r="F261" s="2"/>
    </row>
    <row r="262" spans="1:6" x14ac:dyDescent="0.25">
      <c r="B262" s="2" t="s">
        <v>94</v>
      </c>
      <c r="C262" s="3">
        <v>45901</v>
      </c>
      <c r="D262" s="2">
        <v>161</v>
      </c>
      <c r="E262" s="2"/>
      <c r="F262" s="2"/>
    </row>
    <row r="263" spans="1:6" x14ac:dyDescent="0.25">
      <c r="B263" s="2" t="s">
        <v>94</v>
      </c>
      <c r="C263" s="3">
        <v>45915</v>
      </c>
      <c r="D263" s="2">
        <v>135</v>
      </c>
      <c r="E263" s="2"/>
      <c r="F263" s="2"/>
    </row>
    <row r="264" spans="1:6" x14ac:dyDescent="0.25">
      <c r="B264" s="2" t="s">
        <v>94</v>
      </c>
      <c r="C264" s="3">
        <v>45929</v>
      </c>
      <c r="D264" s="2">
        <v>148</v>
      </c>
      <c r="E264" s="2"/>
      <c r="F264" s="2"/>
    </row>
    <row r="265" spans="1:6" x14ac:dyDescent="0.25">
      <c r="B265" s="2" t="s">
        <v>94</v>
      </c>
      <c r="C265" s="3">
        <v>45943</v>
      </c>
      <c r="D265" s="2">
        <v>431</v>
      </c>
      <c r="E265" s="2"/>
      <c r="F265" s="2"/>
    </row>
    <row r="266" spans="1:6" x14ac:dyDescent="0.25">
      <c r="A266" t="s">
        <v>95</v>
      </c>
      <c r="B266" s="2" t="s">
        <v>96</v>
      </c>
      <c r="C266" s="3">
        <v>45873</v>
      </c>
      <c r="D266" s="2">
        <v>647</v>
      </c>
      <c r="E266" s="2"/>
      <c r="F266" s="2"/>
    </row>
    <row r="267" spans="1:6" x14ac:dyDescent="0.25">
      <c r="B267" s="2" t="s">
        <v>96</v>
      </c>
      <c r="C267" s="3">
        <v>45887</v>
      </c>
      <c r="D267" s="2">
        <v>418</v>
      </c>
      <c r="E267" s="2"/>
      <c r="F267" s="2"/>
    </row>
    <row r="268" spans="1:6" x14ac:dyDescent="0.25">
      <c r="B268" s="2" t="s">
        <v>96</v>
      </c>
      <c r="C268" s="3">
        <v>45901</v>
      </c>
      <c r="D268" s="2">
        <v>571</v>
      </c>
      <c r="E268" s="2"/>
      <c r="F268" s="2"/>
    </row>
    <row r="269" spans="1:6" x14ac:dyDescent="0.25">
      <c r="B269" s="2" t="s">
        <v>96</v>
      </c>
      <c r="C269" s="3">
        <v>45915</v>
      </c>
      <c r="D269" s="2">
        <v>616</v>
      </c>
      <c r="E269" s="2"/>
      <c r="F269" s="2"/>
    </row>
    <row r="270" spans="1:6" x14ac:dyDescent="0.25">
      <c r="B270" s="2" t="s">
        <v>96</v>
      </c>
      <c r="C270" s="3">
        <v>45929</v>
      </c>
      <c r="D270" s="2">
        <v>231</v>
      </c>
      <c r="E270" s="2"/>
      <c r="F270" s="2"/>
    </row>
    <row r="271" spans="1:6" x14ac:dyDescent="0.25">
      <c r="B271" s="2" t="s">
        <v>96</v>
      </c>
      <c r="C271" s="3">
        <v>45943</v>
      </c>
      <c r="D271" s="2">
        <v>459</v>
      </c>
      <c r="E271" s="2"/>
      <c r="F271" s="2"/>
    </row>
    <row r="272" spans="1:6" x14ac:dyDescent="0.25">
      <c r="A272" t="s">
        <v>97</v>
      </c>
      <c r="B272" s="2" t="s">
        <v>98</v>
      </c>
      <c r="C272" s="3">
        <v>45873</v>
      </c>
      <c r="D272" s="2">
        <v>156</v>
      </c>
      <c r="E272" s="2"/>
      <c r="F272" s="2"/>
    </row>
    <row r="273" spans="1:6" x14ac:dyDescent="0.25">
      <c r="B273" s="2" t="s">
        <v>98</v>
      </c>
      <c r="C273" s="3">
        <v>45887</v>
      </c>
      <c r="D273" s="2">
        <v>529</v>
      </c>
      <c r="E273" s="2"/>
      <c r="F273" s="2"/>
    </row>
    <row r="274" spans="1:6" x14ac:dyDescent="0.25">
      <c r="B274" s="2" t="s">
        <v>98</v>
      </c>
      <c r="C274" s="3">
        <v>45901</v>
      </c>
      <c r="D274" s="2">
        <v>402</v>
      </c>
      <c r="E274" s="2"/>
      <c r="F274" s="2"/>
    </row>
    <row r="275" spans="1:6" x14ac:dyDescent="0.25">
      <c r="B275" s="2" t="s">
        <v>98</v>
      </c>
      <c r="C275" s="3">
        <v>45915</v>
      </c>
      <c r="D275" s="2">
        <v>143</v>
      </c>
      <c r="E275" s="2"/>
      <c r="F275" s="2"/>
    </row>
    <row r="276" spans="1:6" x14ac:dyDescent="0.25">
      <c r="B276" s="2" t="s">
        <v>98</v>
      </c>
      <c r="C276" s="3">
        <v>45929</v>
      </c>
      <c r="D276" s="2">
        <v>144</v>
      </c>
      <c r="E276" s="2"/>
      <c r="F276" s="2"/>
    </row>
    <row r="277" spans="1:6" x14ac:dyDescent="0.25">
      <c r="B277" s="2" t="s">
        <v>98</v>
      </c>
      <c r="C277" s="3">
        <v>45943</v>
      </c>
      <c r="D277" s="2">
        <v>203</v>
      </c>
      <c r="E277" s="2"/>
      <c r="F277" s="2"/>
    </row>
    <row r="278" spans="1:6" x14ac:dyDescent="0.25">
      <c r="A278" t="s">
        <v>99</v>
      </c>
      <c r="B278" s="2" t="s">
        <v>100</v>
      </c>
      <c r="C278" s="3">
        <v>45873</v>
      </c>
      <c r="D278" s="2">
        <v>161</v>
      </c>
      <c r="E278" s="2"/>
      <c r="F278" s="2"/>
    </row>
    <row r="279" spans="1:6" x14ac:dyDescent="0.25">
      <c r="B279" s="2" t="s">
        <v>100</v>
      </c>
      <c r="C279" s="3">
        <v>45887</v>
      </c>
      <c r="D279" s="2">
        <v>133</v>
      </c>
      <c r="E279" s="2"/>
      <c r="F279" s="2"/>
    </row>
    <row r="280" spans="1:6" x14ac:dyDescent="0.25">
      <c r="B280" s="2" t="s">
        <v>100</v>
      </c>
      <c r="C280" s="3">
        <v>45901</v>
      </c>
      <c r="D280" s="2">
        <v>175</v>
      </c>
      <c r="E280" s="2"/>
      <c r="F280" s="2"/>
    </row>
    <row r="281" spans="1:6" x14ac:dyDescent="0.25">
      <c r="B281" s="2" t="s">
        <v>100</v>
      </c>
      <c r="C281" s="3">
        <v>45915</v>
      </c>
      <c r="D281" s="2">
        <v>168</v>
      </c>
      <c r="E281" s="2"/>
      <c r="F281" s="2"/>
    </row>
    <row r="282" spans="1:6" x14ac:dyDescent="0.25">
      <c r="B282" s="2" t="s">
        <v>100</v>
      </c>
      <c r="C282" s="3">
        <v>45929</v>
      </c>
      <c r="D282" s="2">
        <v>112</v>
      </c>
      <c r="E282" s="2"/>
      <c r="F282" s="2"/>
    </row>
    <row r="283" spans="1:6" x14ac:dyDescent="0.25">
      <c r="B283" s="2" t="s">
        <v>100</v>
      </c>
      <c r="C283" s="3">
        <v>45943</v>
      </c>
      <c r="D283" s="2">
        <v>142</v>
      </c>
      <c r="E283" s="2"/>
      <c r="F283" s="2"/>
    </row>
    <row r="284" spans="1:6" x14ac:dyDescent="0.25">
      <c r="A284" t="s">
        <v>101</v>
      </c>
      <c r="B284" s="2" t="s">
        <v>102</v>
      </c>
      <c r="C284" s="3">
        <v>45873</v>
      </c>
      <c r="D284" s="2">
        <v>120</v>
      </c>
      <c r="E284" s="2"/>
      <c r="F284" s="2"/>
    </row>
    <row r="285" spans="1:6" x14ac:dyDescent="0.25">
      <c r="B285" s="2" t="s">
        <v>102</v>
      </c>
      <c r="C285" s="3">
        <v>45887</v>
      </c>
      <c r="D285" s="2">
        <v>110</v>
      </c>
      <c r="E285" s="2"/>
      <c r="F285" s="2"/>
    </row>
    <row r="286" spans="1:6" x14ac:dyDescent="0.25">
      <c r="B286" s="2" t="s">
        <v>102</v>
      </c>
      <c r="C286" s="3">
        <v>45901</v>
      </c>
      <c r="D286" s="2">
        <v>132</v>
      </c>
      <c r="E286" s="2"/>
      <c r="F286" s="2"/>
    </row>
    <row r="287" spans="1:6" x14ac:dyDescent="0.25">
      <c r="B287" s="2" t="s">
        <v>102</v>
      </c>
      <c r="C287" s="3">
        <v>45915</v>
      </c>
      <c r="D287" s="2">
        <v>66</v>
      </c>
      <c r="E287" s="2"/>
      <c r="F287" s="2"/>
    </row>
    <row r="288" spans="1:6" x14ac:dyDescent="0.25">
      <c r="B288" s="2" t="s">
        <v>102</v>
      </c>
      <c r="C288" s="3">
        <v>45929</v>
      </c>
      <c r="D288" s="2">
        <v>73</v>
      </c>
      <c r="E288" s="2"/>
      <c r="F288" s="2"/>
    </row>
    <row r="289" spans="1:6" x14ac:dyDescent="0.25">
      <c r="B289" s="2" t="s">
        <v>102</v>
      </c>
      <c r="C289" s="3">
        <v>45943</v>
      </c>
      <c r="D289" s="2">
        <v>83</v>
      </c>
      <c r="E289" s="2"/>
      <c r="F289" s="2"/>
    </row>
    <row r="290" spans="1:6" x14ac:dyDescent="0.25">
      <c r="A290" t="s">
        <v>103</v>
      </c>
      <c r="B290" s="2" t="s">
        <v>104</v>
      </c>
      <c r="C290" s="3">
        <v>45873</v>
      </c>
      <c r="D290" s="2">
        <v>387</v>
      </c>
      <c r="E290" s="2"/>
      <c r="F290" s="2"/>
    </row>
    <row r="291" spans="1:6" x14ac:dyDescent="0.25">
      <c r="B291" s="2" t="s">
        <v>104</v>
      </c>
      <c r="C291" s="3">
        <v>45887</v>
      </c>
      <c r="D291" s="2">
        <v>830</v>
      </c>
      <c r="E291" s="2"/>
      <c r="F291" s="2"/>
    </row>
    <row r="292" spans="1:6" x14ac:dyDescent="0.25">
      <c r="B292" s="2" t="s">
        <v>104</v>
      </c>
      <c r="C292" s="3">
        <v>45901</v>
      </c>
      <c r="D292" s="2">
        <v>207</v>
      </c>
      <c r="E292" s="2"/>
      <c r="F292" s="2"/>
    </row>
    <row r="293" spans="1:6" x14ac:dyDescent="0.25">
      <c r="B293" s="2" t="s">
        <v>104</v>
      </c>
      <c r="C293" s="3">
        <v>45915</v>
      </c>
      <c r="D293" s="2">
        <v>449</v>
      </c>
      <c r="E293" s="2"/>
      <c r="F293" s="2"/>
    </row>
    <row r="294" spans="1:6" x14ac:dyDescent="0.25">
      <c r="B294" s="2" t="s">
        <v>104</v>
      </c>
      <c r="C294" s="3">
        <v>45929</v>
      </c>
      <c r="D294" s="2">
        <v>262</v>
      </c>
      <c r="E294" s="2"/>
      <c r="F294" s="2"/>
    </row>
    <row r="295" spans="1:6" x14ac:dyDescent="0.25">
      <c r="B295" s="2" t="s">
        <v>104</v>
      </c>
      <c r="C295" s="3">
        <v>45943</v>
      </c>
      <c r="D295" s="2">
        <v>317</v>
      </c>
      <c r="E295" s="2"/>
      <c r="F295" s="2"/>
    </row>
    <row r="296" spans="1:6" x14ac:dyDescent="0.25">
      <c r="A296" t="s">
        <v>105</v>
      </c>
      <c r="B296" s="2" t="s">
        <v>106</v>
      </c>
      <c r="C296" s="3">
        <v>45873</v>
      </c>
      <c r="D296" s="2">
        <v>152</v>
      </c>
      <c r="E296" s="2"/>
      <c r="F296" s="2"/>
    </row>
    <row r="297" spans="1:6" x14ac:dyDescent="0.25">
      <c r="B297" s="2" t="s">
        <v>106</v>
      </c>
      <c r="C297" s="3">
        <v>45887</v>
      </c>
      <c r="D297" s="2">
        <v>170</v>
      </c>
      <c r="E297" s="2"/>
      <c r="F297" s="2"/>
    </row>
    <row r="298" spans="1:6" x14ac:dyDescent="0.25">
      <c r="B298" s="2" t="s">
        <v>106</v>
      </c>
      <c r="C298" s="3">
        <v>45901</v>
      </c>
      <c r="D298" s="2">
        <v>168</v>
      </c>
      <c r="E298" s="2"/>
      <c r="F298" s="2"/>
    </row>
    <row r="299" spans="1:6" x14ac:dyDescent="0.25">
      <c r="B299" s="2" t="s">
        <v>106</v>
      </c>
      <c r="C299" s="3">
        <v>45915</v>
      </c>
      <c r="D299" s="2">
        <v>132</v>
      </c>
      <c r="E299" s="2"/>
      <c r="F299" s="2"/>
    </row>
    <row r="300" spans="1:6" x14ac:dyDescent="0.25">
      <c r="B300" s="2" t="s">
        <v>106</v>
      </c>
      <c r="C300" s="3">
        <v>45929</v>
      </c>
      <c r="D300" s="2">
        <v>113</v>
      </c>
      <c r="E300" s="2"/>
      <c r="F300" s="2"/>
    </row>
    <row r="301" spans="1:6" x14ac:dyDescent="0.25">
      <c r="B301" s="2" t="s">
        <v>106</v>
      </c>
      <c r="C301" s="3">
        <v>45943</v>
      </c>
      <c r="D301" s="2">
        <v>149</v>
      </c>
      <c r="E301" s="2"/>
      <c r="F301" s="2"/>
    </row>
    <row r="302" spans="1:6" x14ac:dyDescent="0.25">
      <c r="A302" t="s">
        <v>107</v>
      </c>
      <c r="B302" s="2" t="s">
        <v>108</v>
      </c>
      <c r="C302" s="3">
        <v>45873</v>
      </c>
      <c r="D302" s="2">
        <v>269</v>
      </c>
      <c r="E302" s="2"/>
      <c r="F302" s="2"/>
    </row>
    <row r="303" spans="1:6" x14ac:dyDescent="0.25">
      <c r="B303" s="2" t="s">
        <v>108</v>
      </c>
      <c r="C303" s="3">
        <v>45887</v>
      </c>
      <c r="D303" s="2">
        <v>280</v>
      </c>
      <c r="E303" s="2"/>
      <c r="F303" s="2"/>
    </row>
    <row r="304" spans="1:6" x14ac:dyDescent="0.25">
      <c r="B304" s="2" t="s">
        <v>108</v>
      </c>
      <c r="C304" s="3">
        <v>45901</v>
      </c>
      <c r="D304" s="2">
        <v>288</v>
      </c>
      <c r="E304" s="2"/>
      <c r="F304" s="2"/>
    </row>
    <row r="305" spans="1:6" x14ac:dyDescent="0.25">
      <c r="B305" s="2" t="s">
        <v>108</v>
      </c>
      <c r="C305" s="3">
        <v>45915</v>
      </c>
      <c r="D305" s="2">
        <v>233</v>
      </c>
      <c r="E305" s="2"/>
      <c r="F305" s="2"/>
    </row>
    <row r="306" spans="1:6" x14ac:dyDescent="0.25">
      <c r="B306" s="2" t="s">
        <v>108</v>
      </c>
      <c r="C306" s="3">
        <v>45929</v>
      </c>
      <c r="D306" s="2">
        <v>233</v>
      </c>
      <c r="E306" s="2"/>
      <c r="F306" s="2"/>
    </row>
    <row r="307" spans="1:6" x14ac:dyDescent="0.25">
      <c r="B307" s="2" t="s">
        <v>108</v>
      </c>
      <c r="C307" s="3">
        <v>45943</v>
      </c>
      <c r="D307" s="2">
        <v>308</v>
      </c>
      <c r="E307" s="2"/>
      <c r="F307" s="2"/>
    </row>
    <row r="308" spans="1:6" x14ac:dyDescent="0.25">
      <c r="A308" t="s">
        <v>109</v>
      </c>
      <c r="B308" s="2" t="s">
        <v>110</v>
      </c>
      <c r="C308" s="3">
        <v>45873</v>
      </c>
      <c r="D308" s="2">
        <v>180</v>
      </c>
      <c r="E308" s="2"/>
      <c r="F308" s="2"/>
    </row>
    <row r="309" spans="1:6" x14ac:dyDescent="0.25">
      <c r="B309" s="2" t="s">
        <v>110</v>
      </c>
      <c r="C309" s="3">
        <v>45887</v>
      </c>
      <c r="D309" s="2">
        <v>124</v>
      </c>
      <c r="E309" s="2"/>
      <c r="F309" s="2"/>
    </row>
    <row r="310" spans="1:6" x14ac:dyDescent="0.25">
      <c r="B310" s="2" t="s">
        <v>110</v>
      </c>
      <c r="C310" s="3">
        <v>45901</v>
      </c>
      <c r="D310" s="2">
        <v>512</v>
      </c>
      <c r="E310" s="2"/>
      <c r="F310" s="2"/>
    </row>
    <row r="311" spans="1:6" x14ac:dyDescent="0.25">
      <c r="B311" s="2" t="s">
        <v>110</v>
      </c>
      <c r="C311" s="3">
        <v>45915</v>
      </c>
      <c r="D311" s="2">
        <v>228</v>
      </c>
      <c r="E311" s="2"/>
      <c r="F311" s="2"/>
    </row>
    <row r="312" spans="1:6" x14ac:dyDescent="0.25">
      <c r="B312" s="2" t="s">
        <v>110</v>
      </c>
      <c r="C312" s="3">
        <v>45929</v>
      </c>
      <c r="D312" s="2">
        <v>229</v>
      </c>
      <c r="E312" s="2"/>
      <c r="F312" s="2"/>
    </row>
    <row r="313" spans="1:6" x14ac:dyDescent="0.25">
      <c r="B313" s="2" t="s">
        <v>110</v>
      </c>
      <c r="C313" s="3">
        <v>45943</v>
      </c>
      <c r="D313" s="2">
        <v>208</v>
      </c>
      <c r="E313" s="2"/>
      <c r="F313" s="2"/>
    </row>
    <row r="314" spans="1:6" x14ac:dyDescent="0.25">
      <c r="A314" t="s">
        <v>111</v>
      </c>
      <c r="B314" s="2" t="s">
        <v>112</v>
      </c>
      <c r="C314" s="3">
        <v>45873</v>
      </c>
      <c r="D314" s="2">
        <v>316</v>
      </c>
      <c r="E314" s="2"/>
      <c r="F314" s="2"/>
    </row>
    <row r="315" spans="1:6" x14ac:dyDescent="0.25">
      <c r="B315" s="2" t="s">
        <v>112</v>
      </c>
      <c r="C315" s="3">
        <v>45887</v>
      </c>
      <c r="D315" s="2">
        <v>281</v>
      </c>
      <c r="E315" s="2"/>
      <c r="F315" s="2"/>
    </row>
    <row r="316" spans="1:6" x14ac:dyDescent="0.25">
      <c r="B316" s="2" t="s">
        <v>112</v>
      </c>
      <c r="C316" s="3">
        <v>45901</v>
      </c>
      <c r="D316" s="2">
        <v>609</v>
      </c>
      <c r="E316" s="2"/>
      <c r="F316" s="2"/>
    </row>
    <row r="317" spans="1:6" x14ac:dyDescent="0.25">
      <c r="B317" s="2" t="s">
        <v>112</v>
      </c>
      <c r="C317" s="3">
        <v>45915</v>
      </c>
      <c r="D317" s="2">
        <v>605</v>
      </c>
      <c r="E317" s="2"/>
      <c r="F317" s="2"/>
    </row>
    <row r="318" spans="1:6" x14ac:dyDescent="0.25">
      <c r="B318" s="2" t="s">
        <v>112</v>
      </c>
      <c r="C318" s="3">
        <v>45929</v>
      </c>
      <c r="D318" s="2">
        <v>429</v>
      </c>
      <c r="E318" s="2"/>
      <c r="F318" s="2"/>
    </row>
    <row r="319" spans="1:6" x14ac:dyDescent="0.25">
      <c r="B319" s="2" t="s">
        <v>112</v>
      </c>
      <c r="C319" s="3">
        <v>45943</v>
      </c>
      <c r="D319" s="2">
        <v>1738</v>
      </c>
      <c r="E319" s="2"/>
      <c r="F319" s="2"/>
    </row>
    <row r="320" spans="1:6" x14ac:dyDescent="0.25">
      <c r="A320" t="s">
        <v>113</v>
      </c>
      <c r="B320" s="2" t="s">
        <v>114</v>
      </c>
      <c r="C320" s="3">
        <v>45873</v>
      </c>
      <c r="D320" s="2">
        <v>259</v>
      </c>
      <c r="E320" s="2"/>
      <c r="F320" s="2"/>
    </row>
    <row r="321" spans="1:6" x14ac:dyDescent="0.25">
      <c r="B321" s="2" t="s">
        <v>114</v>
      </c>
      <c r="C321" s="3">
        <v>45887</v>
      </c>
      <c r="D321" s="2">
        <v>189</v>
      </c>
      <c r="E321" s="2"/>
      <c r="F321" s="2"/>
    </row>
    <row r="322" spans="1:6" x14ac:dyDescent="0.25">
      <c r="B322" s="2" t="s">
        <v>114</v>
      </c>
      <c r="C322" s="3">
        <v>45901</v>
      </c>
      <c r="D322" s="2">
        <v>219</v>
      </c>
      <c r="E322" s="2"/>
      <c r="F322" s="2"/>
    </row>
    <row r="323" spans="1:6" x14ac:dyDescent="0.25">
      <c r="B323" s="2" t="s">
        <v>114</v>
      </c>
      <c r="C323" s="3">
        <v>45915</v>
      </c>
      <c r="D323" s="2">
        <v>166</v>
      </c>
      <c r="E323" s="2"/>
      <c r="F323" s="2"/>
    </row>
    <row r="324" spans="1:6" x14ac:dyDescent="0.25">
      <c r="B324" s="2" t="s">
        <v>114</v>
      </c>
      <c r="C324" s="3">
        <v>45929</v>
      </c>
      <c r="D324" s="2">
        <v>202</v>
      </c>
      <c r="E324" s="2"/>
      <c r="F324" s="2"/>
    </row>
    <row r="325" spans="1:6" x14ac:dyDescent="0.25">
      <c r="B325" s="2" t="s">
        <v>114</v>
      </c>
      <c r="C325" s="3">
        <v>45943</v>
      </c>
      <c r="D325" s="2">
        <v>154</v>
      </c>
      <c r="E325" s="2"/>
      <c r="F325" s="2"/>
    </row>
    <row r="326" spans="1:6" x14ac:dyDescent="0.25">
      <c r="A326" t="s">
        <v>115</v>
      </c>
      <c r="B326" s="2" t="s">
        <v>116</v>
      </c>
      <c r="C326" s="3">
        <v>45873</v>
      </c>
      <c r="D326" s="2">
        <v>143</v>
      </c>
      <c r="E326" s="2"/>
      <c r="F326" s="2"/>
    </row>
    <row r="327" spans="1:6" x14ac:dyDescent="0.25">
      <c r="B327" s="2" t="s">
        <v>116</v>
      </c>
      <c r="C327" s="3">
        <v>45887</v>
      </c>
      <c r="D327" s="2">
        <v>610</v>
      </c>
      <c r="E327" s="2"/>
      <c r="F327" s="2"/>
    </row>
    <row r="328" spans="1:6" x14ac:dyDescent="0.25">
      <c r="B328" s="2" t="s">
        <v>116</v>
      </c>
      <c r="C328" s="3">
        <v>45901</v>
      </c>
      <c r="D328" s="2">
        <v>270</v>
      </c>
      <c r="E328" s="2"/>
      <c r="F328" s="2"/>
    </row>
    <row r="329" spans="1:6" x14ac:dyDescent="0.25">
      <c r="B329" s="2" t="s">
        <v>116</v>
      </c>
      <c r="C329" s="3">
        <v>45915</v>
      </c>
      <c r="D329" s="2">
        <v>123</v>
      </c>
      <c r="E329" s="2"/>
      <c r="F329" s="2"/>
    </row>
    <row r="330" spans="1:6" x14ac:dyDescent="0.25">
      <c r="B330" s="2" t="s">
        <v>116</v>
      </c>
      <c r="C330" s="3">
        <v>45929</v>
      </c>
      <c r="D330" s="2">
        <v>102</v>
      </c>
      <c r="E330" s="2"/>
      <c r="F330" s="2"/>
    </row>
    <row r="331" spans="1:6" x14ac:dyDescent="0.25">
      <c r="B331" s="2" t="s">
        <v>116</v>
      </c>
      <c r="C331" s="3">
        <v>45943</v>
      </c>
      <c r="D331" s="2">
        <v>140</v>
      </c>
      <c r="E331" s="2"/>
      <c r="F331" s="2"/>
    </row>
    <row r="332" spans="1:6" x14ac:dyDescent="0.25">
      <c r="A332" t="s">
        <v>117</v>
      </c>
      <c r="B332" s="2" t="s">
        <v>118</v>
      </c>
      <c r="C332" s="3">
        <v>45873</v>
      </c>
      <c r="D332" s="2">
        <v>129</v>
      </c>
      <c r="E332" s="2"/>
      <c r="F332" s="2"/>
    </row>
    <row r="333" spans="1:6" x14ac:dyDescent="0.25">
      <c r="B333" s="2" t="s">
        <v>118</v>
      </c>
      <c r="C333" s="3">
        <v>45887</v>
      </c>
      <c r="D333" s="2">
        <v>156</v>
      </c>
      <c r="E333" s="2"/>
      <c r="F333" s="2"/>
    </row>
    <row r="334" spans="1:6" x14ac:dyDescent="0.25">
      <c r="B334" s="2" t="s">
        <v>118</v>
      </c>
      <c r="C334" s="3">
        <v>45901</v>
      </c>
      <c r="D334" s="2">
        <v>139</v>
      </c>
      <c r="E334" s="2"/>
      <c r="F334" s="2"/>
    </row>
    <row r="335" spans="1:6" x14ac:dyDescent="0.25">
      <c r="B335" s="2" t="s">
        <v>118</v>
      </c>
      <c r="C335" s="3">
        <v>45915</v>
      </c>
      <c r="D335" s="2">
        <v>164</v>
      </c>
      <c r="E335" s="2"/>
      <c r="F335" s="2"/>
    </row>
    <row r="336" spans="1:6" x14ac:dyDescent="0.25">
      <c r="B336" s="2" t="s">
        <v>118</v>
      </c>
      <c r="C336" s="3">
        <v>45929</v>
      </c>
      <c r="D336" s="2">
        <v>72</v>
      </c>
      <c r="E336" s="2"/>
      <c r="F336" s="2"/>
    </row>
    <row r="337" spans="1:6" x14ac:dyDescent="0.25">
      <c r="B337" s="2" t="s">
        <v>118</v>
      </c>
      <c r="C337" s="3">
        <v>45943</v>
      </c>
      <c r="D337" s="2">
        <v>102</v>
      </c>
      <c r="E337" s="2"/>
      <c r="F337" s="2"/>
    </row>
    <row r="338" spans="1:6" x14ac:dyDescent="0.25">
      <c r="A338" t="s">
        <v>119</v>
      </c>
      <c r="B338" s="2" t="s">
        <v>120</v>
      </c>
      <c r="C338" s="3">
        <v>45873</v>
      </c>
      <c r="D338" s="2">
        <v>138</v>
      </c>
      <c r="E338" s="2"/>
      <c r="F338" s="2"/>
    </row>
    <row r="339" spans="1:6" x14ac:dyDescent="0.25">
      <c r="B339" s="2" t="s">
        <v>120</v>
      </c>
      <c r="C339" s="3">
        <v>45887</v>
      </c>
      <c r="D339" s="2">
        <v>349</v>
      </c>
      <c r="E339" s="2"/>
      <c r="F339" s="2"/>
    </row>
    <row r="340" spans="1:6" x14ac:dyDescent="0.25">
      <c r="B340" s="2" t="s">
        <v>120</v>
      </c>
      <c r="C340" s="3">
        <v>45901</v>
      </c>
      <c r="D340" s="2">
        <v>654</v>
      </c>
      <c r="E340" s="2"/>
      <c r="F340" s="2"/>
    </row>
    <row r="341" spans="1:6" x14ac:dyDescent="0.25">
      <c r="B341" s="2" t="s">
        <v>120</v>
      </c>
      <c r="C341" s="3">
        <v>45915</v>
      </c>
      <c r="D341" s="2">
        <v>301</v>
      </c>
      <c r="E341" s="2"/>
      <c r="F341" s="2"/>
    </row>
    <row r="342" spans="1:6" x14ac:dyDescent="0.25">
      <c r="B342" s="2" t="s">
        <v>120</v>
      </c>
      <c r="C342" s="3">
        <v>45929</v>
      </c>
      <c r="D342" s="2">
        <v>267</v>
      </c>
      <c r="E342" s="2"/>
      <c r="F342" s="2"/>
    </row>
    <row r="343" spans="1:6" x14ac:dyDescent="0.25">
      <c r="B343" s="2" t="s">
        <v>120</v>
      </c>
      <c r="C343" s="3">
        <v>45943</v>
      </c>
      <c r="D343" s="2">
        <v>226</v>
      </c>
      <c r="E343" s="2"/>
      <c r="F343" s="2"/>
    </row>
    <row r="344" spans="1:6" x14ac:dyDescent="0.25">
      <c r="A344" t="s">
        <v>121</v>
      </c>
      <c r="B344" s="2" t="s">
        <v>122</v>
      </c>
      <c r="C344" s="3">
        <v>45873</v>
      </c>
      <c r="D344" s="2">
        <v>121</v>
      </c>
      <c r="E344" s="2"/>
      <c r="F344" s="2"/>
    </row>
    <row r="345" spans="1:6" x14ac:dyDescent="0.25">
      <c r="B345" s="2" t="s">
        <v>122</v>
      </c>
      <c r="C345" s="3">
        <v>45887</v>
      </c>
      <c r="D345" s="2">
        <v>350</v>
      </c>
      <c r="E345" s="2"/>
      <c r="F345" s="2"/>
    </row>
    <row r="346" spans="1:6" x14ac:dyDescent="0.25">
      <c r="B346" s="2" t="s">
        <v>122</v>
      </c>
      <c r="C346" s="3">
        <v>45901</v>
      </c>
      <c r="D346" s="2">
        <v>314</v>
      </c>
      <c r="E346" s="2"/>
      <c r="F346" s="2"/>
    </row>
    <row r="347" spans="1:6" x14ac:dyDescent="0.25">
      <c r="B347" s="2" t="s">
        <v>122</v>
      </c>
      <c r="C347" s="3">
        <v>45915</v>
      </c>
      <c r="D347" s="2">
        <v>255</v>
      </c>
      <c r="E347" s="2"/>
      <c r="F347" s="2"/>
    </row>
    <row r="348" spans="1:6" x14ac:dyDescent="0.25">
      <c r="B348" s="2" t="s">
        <v>122</v>
      </c>
      <c r="C348" s="3">
        <v>45929</v>
      </c>
      <c r="D348" s="2">
        <v>150</v>
      </c>
      <c r="E348" s="2"/>
      <c r="F348" s="2"/>
    </row>
    <row r="349" spans="1:6" x14ac:dyDescent="0.25">
      <c r="B349" s="2" t="s">
        <v>122</v>
      </c>
      <c r="C349" s="3">
        <v>45943</v>
      </c>
      <c r="D349" s="2">
        <v>267</v>
      </c>
      <c r="E349" s="2"/>
      <c r="F349" s="2"/>
    </row>
    <row r="350" spans="1:6" x14ac:dyDescent="0.25">
      <c r="A350" t="s">
        <v>123</v>
      </c>
      <c r="B350" s="2" t="s">
        <v>124</v>
      </c>
      <c r="C350" s="3">
        <v>45873</v>
      </c>
      <c r="D350" s="2">
        <v>1896</v>
      </c>
      <c r="E350" s="2"/>
      <c r="F350" s="2"/>
    </row>
    <row r="351" spans="1:6" x14ac:dyDescent="0.25">
      <c r="B351" s="2" t="s">
        <v>124</v>
      </c>
      <c r="C351" s="3">
        <v>45887</v>
      </c>
      <c r="D351" s="2">
        <v>352</v>
      </c>
      <c r="E351" s="2"/>
      <c r="F351" s="2"/>
    </row>
    <row r="352" spans="1:6" x14ac:dyDescent="0.25">
      <c r="B352" s="2" t="s">
        <v>124</v>
      </c>
      <c r="C352" s="3">
        <v>45901</v>
      </c>
      <c r="D352" s="2">
        <v>944</v>
      </c>
      <c r="E352" s="2"/>
      <c r="F352" s="2"/>
    </row>
    <row r="353" spans="1:6" x14ac:dyDescent="0.25">
      <c r="B353" s="2" t="s">
        <v>124</v>
      </c>
      <c r="C353" s="3">
        <v>45915</v>
      </c>
      <c r="D353" s="2">
        <v>301</v>
      </c>
      <c r="E353" s="2"/>
      <c r="F353" s="2"/>
    </row>
    <row r="354" spans="1:6" x14ac:dyDescent="0.25">
      <c r="B354" s="2" t="s">
        <v>124</v>
      </c>
      <c r="C354" s="3">
        <v>45929</v>
      </c>
      <c r="D354" s="2">
        <v>162</v>
      </c>
      <c r="E354" s="2"/>
      <c r="F354" s="2"/>
    </row>
    <row r="355" spans="1:6" x14ac:dyDescent="0.25">
      <c r="B355" s="2" t="s">
        <v>124</v>
      </c>
      <c r="C355" s="3">
        <v>45943</v>
      </c>
      <c r="D355" s="2">
        <v>217</v>
      </c>
      <c r="E355" s="2"/>
      <c r="F355" s="2"/>
    </row>
    <row r="356" spans="1:6" x14ac:dyDescent="0.25">
      <c r="A356" t="s">
        <v>125</v>
      </c>
      <c r="B356" s="2" t="s">
        <v>126</v>
      </c>
      <c r="C356" s="3">
        <v>45873</v>
      </c>
      <c r="D356" s="2">
        <v>46</v>
      </c>
      <c r="E356" s="2"/>
      <c r="F356" s="2"/>
    </row>
    <row r="357" spans="1:6" x14ac:dyDescent="0.25">
      <c r="B357" s="2" t="s">
        <v>126</v>
      </c>
      <c r="C357" s="3">
        <v>45887</v>
      </c>
      <c r="D357" s="2">
        <v>203</v>
      </c>
      <c r="E357" s="2"/>
      <c r="F357" s="2"/>
    </row>
    <row r="358" spans="1:6" x14ac:dyDescent="0.25">
      <c r="B358" s="2" t="s">
        <v>126</v>
      </c>
      <c r="C358" s="3">
        <v>45901</v>
      </c>
      <c r="D358" s="2">
        <v>183</v>
      </c>
      <c r="E358" s="2"/>
      <c r="F358" s="2"/>
    </row>
    <row r="359" spans="1:6" x14ac:dyDescent="0.25">
      <c r="B359" s="2" t="s">
        <v>126</v>
      </c>
      <c r="C359" s="3">
        <v>45915</v>
      </c>
      <c r="D359" s="2">
        <v>164</v>
      </c>
      <c r="E359" s="2"/>
      <c r="F359" s="2"/>
    </row>
    <row r="360" spans="1:6" x14ac:dyDescent="0.25">
      <c r="B360" s="2" t="s">
        <v>126</v>
      </c>
      <c r="C360" s="3">
        <v>45929</v>
      </c>
      <c r="D360" s="2">
        <v>72</v>
      </c>
      <c r="E360" s="2"/>
      <c r="F360" s="2"/>
    </row>
    <row r="361" spans="1:6" x14ac:dyDescent="0.25">
      <c r="B361" s="2" t="s">
        <v>126</v>
      </c>
      <c r="C361" s="3">
        <v>45943</v>
      </c>
      <c r="D361" s="2">
        <v>120</v>
      </c>
      <c r="E361" s="2"/>
      <c r="F361" s="2"/>
    </row>
    <row r="362" spans="1:6" x14ac:dyDescent="0.25">
      <c r="A362" t="s">
        <v>127</v>
      </c>
      <c r="B362" s="2" t="s">
        <v>128</v>
      </c>
      <c r="C362" s="3">
        <v>45873</v>
      </c>
      <c r="D362" s="2">
        <v>149</v>
      </c>
      <c r="E362" s="2"/>
      <c r="F362" s="2"/>
    </row>
    <row r="363" spans="1:6" x14ac:dyDescent="0.25">
      <c r="B363" s="2" t="s">
        <v>128</v>
      </c>
      <c r="C363" s="3">
        <v>45887</v>
      </c>
      <c r="D363" s="2">
        <v>269</v>
      </c>
      <c r="E363" s="2"/>
      <c r="F363" s="2"/>
    </row>
    <row r="364" spans="1:6" x14ac:dyDescent="0.25">
      <c r="B364" s="2" t="s">
        <v>128</v>
      </c>
      <c r="C364" s="3">
        <v>45901</v>
      </c>
      <c r="D364" s="2">
        <v>577</v>
      </c>
      <c r="E364" s="2"/>
      <c r="F364" s="2"/>
    </row>
    <row r="365" spans="1:6" x14ac:dyDescent="0.25">
      <c r="B365" s="2" t="s">
        <v>128</v>
      </c>
      <c r="C365" s="3">
        <v>45915</v>
      </c>
      <c r="D365" s="2">
        <v>349</v>
      </c>
      <c r="E365" s="2"/>
      <c r="F365" s="2"/>
    </row>
    <row r="366" spans="1:6" x14ac:dyDescent="0.25">
      <c r="B366" s="2" t="s">
        <v>128</v>
      </c>
      <c r="C366" s="3">
        <v>45929</v>
      </c>
      <c r="D366" s="2">
        <v>171</v>
      </c>
      <c r="E366" s="2"/>
      <c r="F366" s="2"/>
    </row>
    <row r="367" spans="1:6" x14ac:dyDescent="0.25">
      <c r="B367" s="2" t="s">
        <v>128</v>
      </c>
      <c r="C367" s="3">
        <v>45943</v>
      </c>
      <c r="D367" s="2">
        <v>303</v>
      </c>
      <c r="E367" s="2"/>
      <c r="F367" s="2"/>
    </row>
    <row r="368" spans="1:6" x14ac:dyDescent="0.25">
      <c r="A368" t="s">
        <v>129</v>
      </c>
      <c r="B368" s="2" t="s">
        <v>130</v>
      </c>
      <c r="C368" s="3">
        <v>45873</v>
      </c>
      <c r="D368" s="2">
        <v>161</v>
      </c>
      <c r="E368" s="2"/>
      <c r="F368" s="2"/>
    </row>
    <row r="369" spans="1:6" x14ac:dyDescent="0.25">
      <c r="B369" s="2" t="s">
        <v>130</v>
      </c>
      <c r="C369" s="3">
        <v>45887</v>
      </c>
      <c r="D369" s="2">
        <v>190</v>
      </c>
      <c r="E369" s="2"/>
      <c r="F369" s="2"/>
    </row>
    <row r="370" spans="1:6" x14ac:dyDescent="0.25">
      <c r="B370" s="2" t="s">
        <v>130</v>
      </c>
      <c r="C370" s="3">
        <v>45901</v>
      </c>
      <c r="D370" s="2">
        <v>163</v>
      </c>
      <c r="E370" s="2"/>
      <c r="F370" s="2"/>
    </row>
    <row r="371" spans="1:6" x14ac:dyDescent="0.25">
      <c r="B371" s="2" t="s">
        <v>130</v>
      </c>
      <c r="C371" s="3">
        <v>45915</v>
      </c>
      <c r="D371" s="2">
        <v>113</v>
      </c>
      <c r="E371" s="2"/>
      <c r="F371" s="2"/>
    </row>
    <row r="372" spans="1:6" x14ac:dyDescent="0.25">
      <c r="B372" s="2" t="s">
        <v>130</v>
      </c>
      <c r="C372" s="3">
        <v>45929</v>
      </c>
      <c r="D372" s="2">
        <v>102</v>
      </c>
      <c r="E372" s="2"/>
      <c r="F372" s="2"/>
    </row>
    <row r="373" spans="1:6" x14ac:dyDescent="0.25">
      <c r="B373" s="2" t="s">
        <v>130</v>
      </c>
      <c r="C373" s="3">
        <v>45943</v>
      </c>
      <c r="D373" s="2">
        <v>239</v>
      </c>
      <c r="E373" s="2"/>
      <c r="F373" s="2"/>
    </row>
    <row r="374" spans="1:6" x14ac:dyDescent="0.25">
      <c r="A374" t="s">
        <v>131</v>
      </c>
      <c r="B374" s="2" t="s">
        <v>132</v>
      </c>
      <c r="C374" s="3">
        <v>45873</v>
      </c>
      <c r="D374" s="2">
        <v>185</v>
      </c>
      <c r="E374" s="2"/>
      <c r="F374" s="2"/>
    </row>
    <row r="375" spans="1:6" x14ac:dyDescent="0.25">
      <c r="B375" s="2" t="s">
        <v>132</v>
      </c>
      <c r="C375" s="3">
        <v>45887</v>
      </c>
      <c r="D375" s="2">
        <v>103</v>
      </c>
      <c r="E375" s="2"/>
      <c r="F375" s="2"/>
    </row>
    <row r="376" spans="1:6" x14ac:dyDescent="0.25">
      <c r="B376" s="2" t="s">
        <v>132</v>
      </c>
      <c r="C376" s="3">
        <v>45901</v>
      </c>
      <c r="D376" s="2">
        <v>200</v>
      </c>
      <c r="E376" s="2"/>
      <c r="F376" s="2"/>
    </row>
    <row r="377" spans="1:6" x14ac:dyDescent="0.25">
      <c r="B377" s="2" t="s">
        <v>132</v>
      </c>
      <c r="C377" s="3">
        <v>45915</v>
      </c>
      <c r="D377" s="2">
        <v>117</v>
      </c>
      <c r="E377" s="2"/>
      <c r="F377" s="2"/>
    </row>
    <row r="378" spans="1:6" x14ac:dyDescent="0.25">
      <c r="B378" s="2" t="s">
        <v>132</v>
      </c>
      <c r="C378" s="3">
        <v>45929</v>
      </c>
      <c r="D378" s="2">
        <v>314</v>
      </c>
      <c r="E378" s="2"/>
      <c r="F378" s="2"/>
    </row>
    <row r="379" spans="1:6" x14ac:dyDescent="0.25">
      <c r="B379" s="2" t="s">
        <v>132</v>
      </c>
      <c r="C379" s="3">
        <v>45943</v>
      </c>
      <c r="D379" s="2">
        <v>113</v>
      </c>
      <c r="E379" s="2"/>
      <c r="F379" s="2"/>
    </row>
    <row r="380" spans="1:6" x14ac:dyDescent="0.25">
      <c r="A380" t="s">
        <v>133</v>
      </c>
      <c r="B380" s="2" t="s">
        <v>134</v>
      </c>
      <c r="C380" s="3">
        <v>45873</v>
      </c>
      <c r="D380" s="2">
        <v>176</v>
      </c>
      <c r="E380" s="2"/>
      <c r="F380" s="2"/>
    </row>
    <row r="381" spans="1:6" x14ac:dyDescent="0.25">
      <c r="B381" s="2" t="s">
        <v>134</v>
      </c>
      <c r="C381" s="3">
        <v>45887</v>
      </c>
      <c r="D381" s="2">
        <v>322</v>
      </c>
      <c r="E381" s="2"/>
      <c r="F381" s="2"/>
    </row>
    <row r="382" spans="1:6" x14ac:dyDescent="0.25">
      <c r="B382" s="2" t="s">
        <v>134</v>
      </c>
      <c r="C382" s="3">
        <v>45901</v>
      </c>
      <c r="D382" s="2">
        <v>326</v>
      </c>
      <c r="E382" s="2"/>
      <c r="F382" s="2"/>
    </row>
    <row r="383" spans="1:6" x14ac:dyDescent="0.25">
      <c r="B383" s="2" t="s">
        <v>134</v>
      </c>
      <c r="C383" s="3">
        <v>45915</v>
      </c>
      <c r="D383" s="2">
        <v>352</v>
      </c>
      <c r="E383" s="2"/>
      <c r="F383" s="2"/>
    </row>
    <row r="384" spans="1:6" x14ac:dyDescent="0.25">
      <c r="B384" s="2" t="s">
        <v>134</v>
      </c>
      <c r="C384" s="3">
        <v>45929</v>
      </c>
      <c r="D384" s="2">
        <v>280</v>
      </c>
      <c r="E384" s="2"/>
      <c r="F384" s="2"/>
    </row>
    <row r="385" spans="1:6" x14ac:dyDescent="0.25">
      <c r="B385" s="4" t="s">
        <v>135</v>
      </c>
      <c r="C385" s="3">
        <v>45943</v>
      </c>
      <c r="D385" s="2">
        <v>380</v>
      </c>
      <c r="E385" s="2"/>
      <c r="F385" s="2"/>
    </row>
    <row r="386" spans="1:6" x14ac:dyDescent="0.25">
      <c r="A386" t="s">
        <v>136</v>
      </c>
      <c r="B386" s="2" t="s">
        <v>137</v>
      </c>
      <c r="C386" s="3">
        <v>45873</v>
      </c>
      <c r="D386" s="2">
        <v>101</v>
      </c>
      <c r="E386" s="2"/>
      <c r="F386" s="2"/>
    </row>
    <row r="387" spans="1:6" x14ac:dyDescent="0.25">
      <c r="B387" s="2" t="s">
        <v>137</v>
      </c>
      <c r="C387" s="3">
        <v>45887</v>
      </c>
      <c r="D387" s="2">
        <v>159</v>
      </c>
      <c r="E387" s="2"/>
      <c r="F387" s="2"/>
    </row>
    <row r="388" spans="1:6" x14ac:dyDescent="0.25">
      <c r="B388" s="2" t="s">
        <v>137</v>
      </c>
      <c r="C388" s="3">
        <v>45901</v>
      </c>
      <c r="D388" s="2">
        <v>147</v>
      </c>
      <c r="E388" s="2"/>
      <c r="F388" s="2"/>
    </row>
    <row r="389" spans="1:6" x14ac:dyDescent="0.25">
      <c r="B389" s="2" t="s">
        <v>137</v>
      </c>
      <c r="C389" s="3">
        <v>45915</v>
      </c>
      <c r="D389" s="2">
        <v>135</v>
      </c>
      <c r="E389" s="2"/>
      <c r="F389" s="2"/>
    </row>
    <row r="390" spans="1:6" x14ac:dyDescent="0.25">
      <c r="B390" s="2" t="s">
        <v>137</v>
      </c>
      <c r="C390" s="3">
        <v>45929</v>
      </c>
      <c r="D390" s="2">
        <v>96</v>
      </c>
      <c r="E390" s="2"/>
      <c r="F390" s="2"/>
    </row>
    <row r="391" spans="1:6" x14ac:dyDescent="0.25">
      <c r="B391" s="2" t="s">
        <v>137</v>
      </c>
      <c r="C391" s="3">
        <v>45943</v>
      </c>
      <c r="D391" s="2">
        <v>174</v>
      </c>
      <c r="E391" s="2"/>
      <c r="F391" s="2"/>
    </row>
    <row r="392" spans="1:6" x14ac:dyDescent="0.25">
      <c r="A392" t="s">
        <v>138</v>
      </c>
      <c r="B392" s="2" t="s">
        <v>139</v>
      </c>
      <c r="C392" s="3">
        <v>45873</v>
      </c>
      <c r="D392" s="2">
        <v>113</v>
      </c>
      <c r="E392" s="2"/>
      <c r="F392" s="2"/>
    </row>
    <row r="393" spans="1:6" x14ac:dyDescent="0.25">
      <c r="B393" s="2" t="s">
        <v>139</v>
      </c>
      <c r="C393" s="3">
        <v>45887</v>
      </c>
      <c r="D393" s="2">
        <v>159</v>
      </c>
      <c r="E393" s="2"/>
      <c r="F393" s="2"/>
    </row>
    <row r="394" spans="1:6" x14ac:dyDescent="0.25">
      <c r="B394" s="2" t="s">
        <v>139</v>
      </c>
      <c r="C394" s="3">
        <v>45901</v>
      </c>
      <c r="D394" s="2">
        <v>183</v>
      </c>
      <c r="E394" s="2"/>
      <c r="F394" s="2"/>
    </row>
    <row r="395" spans="1:6" x14ac:dyDescent="0.25">
      <c r="B395" s="2" t="s">
        <v>139</v>
      </c>
      <c r="C395" s="3">
        <v>45915</v>
      </c>
      <c r="D395" s="2">
        <v>162</v>
      </c>
      <c r="E395" s="2"/>
      <c r="F395" s="2"/>
    </row>
    <row r="396" spans="1:6" x14ac:dyDescent="0.25">
      <c r="B396" s="2" t="s">
        <v>139</v>
      </c>
      <c r="C396" s="3">
        <v>45929</v>
      </c>
      <c r="D396" s="2">
        <v>100</v>
      </c>
      <c r="E396" s="2"/>
      <c r="F396" s="2"/>
    </row>
    <row r="397" spans="1:6" x14ac:dyDescent="0.25">
      <c r="B397" s="2" t="s">
        <v>139</v>
      </c>
      <c r="C397" s="3">
        <v>45943</v>
      </c>
      <c r="D397" s="2">
        <v>102</v>
      </c>
      <c r="E397" s="2"/>
      <c r="F397" s="2"/>
    </row>
    <row r="398" spans="1:6" x14ac:dyDescent="0.25">
      <c r="A398" t="s">
        <v>140</v>
      </c>
      <c r="B398" s="2" t="s">
        <v>141</v>
      </c>
      <c r="C398" s="3">
        <v>45873</v>
      </c>
      <c r="D398" s="2">
        <v>72</v>
      </c>
      <c r="E398" s="2"/>
      <c r="F398" s="2"/>
    </row>
    <row r="399" spans="1:6" x14ac:dyDescent="0.25">
      <c r="B399" s="2" t="s">
        <v>141</v>
      </c>
      <c r="C399" s="3">
        <v>45887</v>
      </c>
      <c r="D399" s="2">
        <v>151</v>
      </c>
      <c r="E399" s="2"/>
      <c r="F399" s="2"/>
    </row>
    <row r="400" spans="1:6" x14ac:dyDescent="0.25">
      <c r="B400" s="2" t="s">
        <v>141</v>
      </c>
      <c r="C400" s="3">
        <v>45901</v>
      </c>
      <c r="D400" s="2">
        <v>116</v>
      </c>
      <c r="E400" s="2"/>
      <c r="F400" s="2"/>
    </row>
    <row r="401" spans="1:6" x14ac:dyDescent="0.25">
      <c r="B401" s="2" t="s">
        <v>141</v>
      </c>
      <c r="C401" s="3">
        <v>45915</v>
      </c>
      <c r="D401" s="2">
        <v>117</v>
      </c>
      <c r="E401" s="2"/>
      <c r="F401" s="2"/>
    </row>
    <row r="402" spans="1:6" x14ac:dyDescent="0.25">
      <c r="B402" s="2" t="s">
        <v>141</v>
      </c>
      <c r="C402" s="3">
        <v>45929</v>
      </c>
      <c r="D402" s="2">
        <v>82</v>
      </c>
      <c r="E402" s="2"/>
      <c r="F402" s="2"/>
    </row>
    <row r="403" spans="1:6" x14ac:dyDescent="0.25">
      <c r="B403" s="2" t="s">
        <v>141</v>
      </c>
      <c r="C403" s="3">
        <v>45943</v>
      </c>
      <c r="D403" s="2">
        <v>510</v>
      </c>
      <c r="E403" s="2"/>
      <c r="F403" s="2"/>
    </row>
    <row r="404" spans="1:6" x14ac:dyDescent="0.25">
      <c r="A404" t="s">
        <v>142</v>
      </c>
      <c r="B404" s="2" t="s">
        <v>143</v>
      </c>
      <c r="C404" s="3">
        <v>45873</v>
      </c>
      <c r="D404" s="2">
        <v>118</v>
      </c>
      <c r="E404" s="2"/>
      <c r="F404" s="2"/>
    </row>
    <row r="405" spans="1:6" x14ac:dyDescent="0.25">
      <c r="B405" s="2" t="s">
        <v>143</v>
      </c>
      <c r="C405" s="3">
        <v>45887</v>
      </c>
      <c r="D405" s="2">
        <v>168</v>
      </c>
      <c r="E405" s="2"/>
      <c r="F405" s="2"/>
    </row>
    <row r="406" spans="1:6" x14ac:dyDescent="0.25">
      <c r="B406" s="2" t="s">
        <v>143</v>
      </c>
      <c r="C406" s="3">
        <v>45901</v>
      </c>
      <c r="D406" s="2">
        <v>498</v>
      </c>
      <c r="E406" s="2"/>
      <c r="F406" s="2"/>
    </row>
    <row r="407" spans="1:6" x14ac:dyDescent="0.25">
      <c r="B407" s="2" t="s">
        <v>143</v>
      </c>
      <c r="C407" s="3">
        <v>45915</v>
      </c>
      <c r="D407" s="2">
        <v>130</v>
      </c>
      <c r="E407" s="2"/>
      <c r="F407" s="2"/>
    </row>
    <row r="408" spans="1:6" x14ac:dyDescent="0.25">
      <c r="B408" s="2" t="s">
        <v>143</v>
      </c>
      <c r="C408" s="3">
        <v>45929</v>
      </c>
      <c r="D408" s="2">
        <v>162</v>
      </c>
      <c r="E408" s="2"/>
      <c r="F408" s="2"/>
    </row>
    <row r="409" spans="1:6" x14ac:dyDescent="0.25">
      <c r="B409" s="2" t="s">
        <v>143</v>
      </c>
      <c r="C409" s="3">
        <v>45943</v>
      </c>
      <c r="D409" s="2">
        <v>167</v>
      </c>
      <c r="E409" s="2"/>
      <c r="F409" s="2"/>
    </row>
    <row r="410" spans="1:6" x14ac:dyDescent="0.25">
      <c r="A410" t="s">
        <v>144</v>
      </c>
      <c r="B410" s="2" t="s">
        <v>145</v>
      </c>
      <c r="C410" s="3">
        <v>45873</v>
      </c>
      <c r="D410" s="2">
        <v>89</v>
      </c>
      <c r="E410" s="2"/>
      <c r="F410" s="2"/>
    </row>
    <row r="411" spans="1:6" x14ac:dyDescent="0.25">
      <c r="B411" s="2" t="s">
        <v>145</v>
      </c>
      <c r="C411" s="3">
        <v>45887</v>
      </c>
      <c r="D411" s="2">
        <v>131</v>
      </c>
      <c r="E411" s="2"/>
      <c r="F411" s="2"/>
    </row>
    <row r="412" spans="1:6" x14ac:dyDescent="0.25">
      <c r="B412" s="2" t="s">
        <v>145</v>
      </c>
      <c r="C412" s="3">
        <v>45901</v>
      </c>
      <c r="D412" s="2">
        <v>157</v>
      </c>
      <c r="E412" s="2"/>
      <c r="F412" s="2"/>
    </row>
    <row r="413" spans="1:6" x14ac:dyDescent="0.25">
      <c r="B413" s="2" t="s">
        <v>145</v>
      </c>
      <c r="C413" s="3">
        <v>45915</v>
      </c>
      <c r="D413" s="2">
        <v>86</v>
      </c>
      <c r="E413" s="2"/>
      <c r="F413" s="2"/>
    </row>
    <row r="414" spans="1:6" x14ac:dyDescent="0.25">
      <c r="B414" s="2" t="s">
        <v>145</v>
      </c>
      <c r="C414" s="3">
        <v>45929</v>
      </c>
      <c r="D414" s="2">
        <v>91</v>
      </c>
      <c r="E414" s="2"/>
      <c r="F414" s="2"/>
    </row>
    <row r="415" spans="1:6" x14ac:dyDescent="0.25">
      <c r="B415" s="2" t="s">
        <v>145</v>
      </c>
      <c r="C415" s="3">
        <v>45943</v>
      </c>
      <c r="D415" s="2">
        <v>105</v>
      </c>
      <c r="E415" s="2"/>
      <c r="F415" s="2"/>
    </row>
    <row r="416" spans="1:6" x14ac:dyDescent="0.25">
      <c r="A416" t="s">
        <v>146</v>
      </c>
      <c r="B416" s="2" t="s">
        <v>147</v>
      </c>
      <c r="C416" s="3">
        <v>45873</v>
      </c>
      <c r="D416" s="2">
        <v>300</v>
      </c>
      <c r="E416" s="2"/>
      <c r="F416" s="2"/>
    </row>
    <row r="417" spans="1:6" x14ac:dyDescent="0.25">
      <c r="B417" s="2" t="s">
        <v>147</v>
      </c>
      <c r="C417" s="3">
        <v>45887</v>
      </c>
      <c r="D417" s="2">
        <v>337</v>
      </c>
      <c r="E417" s="2"/>
      <c r="F417" s="2"/>
    </row>
    <row r="418" spans="1:6" x14ac:dyDescent="0.25">
      <c r="B418" s="2" t="s">
        <v>147</v>
      </c>
      <c r="C418" s="3">
        <v>45901</v>
      </c>
      <c r="D418" s="2">
        <v>137</v>
      </c>
      <c r="E418" s="2"/>
      <c r="F418" s="2"/>
    </row>
    <row r="419" spans="1:6" x14ac:dyDescent="0.25">
      <c r="B419" s="2" t="s">
        <v>147</v>
      </c>
      <c r="C419" s="3">
        <v>45915</v>
      </c>
      <c r="D419" s="2">
        <v>135</v>
      </c>
      <c r="E419" s="2"/>
      <c r="F419" s="2"/>
    </row>
    <row r="420" spans="1:6" x14ac:dyDescent="0.25">
      <c r="B420" s="2" t="s">
        <v>147</v>
      </c>
      <c r="C420" s="3">
        <v>45929</v>
      </c>
      <c r="D420" s="2">
        <v>98</v>
      </c>
      <c r="E420" s="2"/>
      <c r="F420" s="2"/>
    </row>
    <row r="421" spans="1:6" x14ac:dyDescent="0.25">
      <c r="B421" s="2" t="s">
        <v>147</v>
      </c>
      <c r="C421" s="3">
        <v>45943</v>
      </c>
      <c r="D421" s="2">
        <v>165</v>
      </c>
      <c r="E421" s="2"/>
      <c r="F421" s="2"/>
    </row>
    <row r="422" spans="1:6" x14ac:dyDescent="0.25">
      <c r="A422" t="s">
        <v>148</v>
      </c>
      <c r="B422" s="2" t="s">
        <v>149</v>
      </c>
      <c r="C422" s="3">
        <v>45873</v>
      </c>
      <c r="D422" s="2">
        <v>136</v>
      </c>
      <c r="E422" s="2"/>
      <c r="F422" s="2"/>
    </row>
    <row r="423" spans="1:6" x14ac:dyDescent="0.25">
      <c r="B423" s="2" t="s">
        <v>149</v>
      </c>
      <c r="C423" s="3">
        <v>45887</v>
      </c>
      <c r="D423" s="2">
        <v>174</v>
      </c>
      <c r="E423" s="2"/>
      <c r="F423" s="2"/>
    </row>
    <row r="424" spans="1:6" x14ac:dyDescent="0.25">
      <c r="B424" s="2" t="s">
        <v>149</v>
      </c>
      <c r="C424" s="3">
        <v>45901</v>
      </c>
      <c r="D424" s="2">
        <v>175</v>
      </c>
      <c r="E424" s="2"/>
      <c r="F424" s="2"/>
    </row>
    <row r="425" spans="1:6" x14ac:dyDescent="0.25">
      <c r="B425" s="2" t="s">
        <v>149</v>
      </c>
      <c r="C425" s="3">
        <v>45915</v>
      </c>
      <c r="D425" s="2">
        <v>106</v>
      </c>
      <c r="E425" s="2"/>
      <c r="F425" s="2"/>
    </row>
    <row r="426" spans="1:6" x14ac:dyDescent="0.25">
      <c r="B426" s="2" t="s">
        <v>149</v>
      </c>
      <c r="C426" s="3">
        <v>45929</v>
      </c>
      <c r="D426" s="2">
        <v>166</v>
      </c>
      <c r="E426" s="2"/>
      <c r="F426" s="2"/>
    </row>
    <row r="427" spans="1:6" x14ac:dyDescent="0.25">
      <c r="B427" s="2" t="s">
        <v>149</v>
      </c>
      <c r="C427" s="3">
        <v>45943</v>
      </c>
      <c r="D427" s="2">
        <v>180</v>
      </c>
      <c r="E427" s="2"/>
      <c r="F427" s="2"/>
    </row>
    <row r="428" spans="1:6" x14ac:dyDescent="0.25">
      <c r="A428" t="s">
        <v>150</v>
      </c>
      <c r="B428" s="2" t="s">
        <v>151</v>
      </c>
      <c r="C428" s="3">
        <v>45873</v>
      </c>
      <c r="D428" s="2">
        <v>52</v>
      </c>
      <c r="E428" s="2"/>
      <c r="F428" s="2"/>
    </row>
    <row r="429" spans="1:6" x14ac:dyDescent="0.25">
      <c r="B429" s="2" t="s">
        <v>151</v>
      </c>
      <c r="C429" s="3">
        <v>45887</v>
      </c>
      <c r="D429" s="2">
        <v>73</v>
      </c>
      <c r="E429" s="2"/>
      <c r="F429" s="2"/>
    </row>
    <row r="430" spans="1:6" x14ac:dyDescent="0.25">
      <c r="B430" s="2" t="s">
        <v>151</v>
      </c>
      <c r="C430" s="3">
        <v>45901</v>
      </c>
      <c r="D430" s="2">
        <v>143</v>
      </c>
      <c r="E430" s="2"/>
      <c r="F430" s="2"/>
    </row>
    <row r="431" spans="1:6" x14ac:dyDescent="0.25">
      <c r="B431" s="2" t="s">
        <v>151</v>
      </c>
      <c r="C431" s="3">
        <v>45915</v>
      </c>
      <c r="D431" s="2">
        <v>75</v>
      </c>
      <c r="E431" s="2"/>
      <c r="F431" s="2"/>
    </row>
    <row r="432" spans="1:6" x14ac:dyDescent="0.25">
      <c r="B432" s="2" t="s">
        <v>151</v>
      </c>
      <c r="C432" s="3">
        <v>45929</v>
      </c>
      <c r="D432" s="2">
        <v>74</v>
      </c>
      <c r="E432" s="2"/>
      <c r="F432" s="2"/>
    </row>
    <row r="433" spans="1:6" x14ac:dyDescent="0.25">
      <c r="B433" s="2" t="s">
        <v>151</v>
      </c>
      <c r="C433" s="3">
        <v>45943</v>
      </c>
      <c r="D433" s="2">
        <v>56</v>
      </c>
      <c r="E433" s="2"/>
      <c r="F433" s="2"/>
    </row>
    <row r="434" spans="1:6" x14ac:dyDescent="0.25">
      <c r="A434" t="s">
        <v>152</v>
      </c>
      <c r="B434" s="2" t="s">
        <v>153</v>
      </c>
      <c r="C434" s="3">
        <v>45873</v>
      </c>
      <c r="D434" s="2">
        <v>146</v>
      </c>
      <c r="E434" s="2"/>
      <c r="F434" s="2"/>
    </row>
    <row r="435" spans="1:6" x14ac:dyDescent="0.25">
      <c r="B435" s="2" t="s">
        <v>153</v>
      </c>
      <c r="C435" s="3">
        <v>45887</v>
      </c>
      <c r="D435" s="2">
        <v>133</v>
      </c>
      <c r="E435" s="2"/>
      <c r="F435" s="2"/>
    </row>
    <row r="436" spans="1:6" x14ac:dyDescent="0.25">
      <c r="B436" s="2" t="s">
        <v>153</v>
      </c>
      <c r="C436" s="3">
        <v>45901</v>
      </c>
      <c r="D436" s="2">
        <v>160</v>
      </c>
      <c r="E436" s="2"/>
      <c r="F436" s="2"/>
    </row>
    <row r="437" spans="1:6" x14ac:dyDescent="0.25">
      <c r="B437" s="2" t="s">
        <v>153</v>
      </c>
      <c r="C437" s="3">
        <v>45915</v>
      </c>
      <c r="D437" s="2">
        <v>337</v>
      </c>
      <c r="E437" s="2"/>
      <c r="F437" s="2"/>
    </row>
    <row r="438" spans="1:6" x14ac:dyDescent="0.25">
      <c r="B438" s="2" t="s">
        <v>153</v>
      </c>
      <c r="C438" s="3">
        <v>45929</v>
      </c>
      <c r="D438" s="2">
        <v>160</v>
      </c>
      <c r="E438" s="2"/>
      <c r="F438" s="2"/>
    </row>
    <row r="439" spans="1:6" x14ac:dyDescent="0.25">
      <c r="B439" s="2" t="s">
        <v>153</v>
      </c>
      <c r="C439" s="3">
        <v>45943</v>
      </c>
      <c r="D439" s="2">
        <v>156</v>
      </c>
      <c r="E439" s="2"/>
      <c r="F439" s="2"/>
    </row>
    <row r="440" spans="1:6" x14ac:dyDescent="0.25">
      <c r="A440" t="s">
        <v>154</v>
      </c>
      <c r="B440" s="2" t="s">
        <v>155</v>
      </c>
      <c r="C440" s="3">
        <v>45873</v>
      </c>
      <c r="D440" s="2">
        <v>79</v>
      </c>
      <c r="E440" s="2"/>
      <c r="F440" s="2"/>
    </row>
    <row r="441" spans="1:6" x14ac:dyDescent="0.25">
      <c r="B441" s="2" t="s">
        <v>155</v>
      </c>
      <c r="C441" s="3">
        <v>45887</v>
      </c>
      <c r="D441" s="2">
        <v>444</v>
      </c>
      <c r="E441" s="2"/>
      <c r="F441" s="2"/>
    </row>
    <row r="442" spans="1:6" x14ac:dyDescent="0.25">
      <c r="B442" s="2" t="s">
        <v>155</v>
      </c>
      <c r="C442" s="3">
        <v>45901</v>
      </c>
      <c r="D442" s="2">
        <v>211</v>
      </c>
      <c r="E442" s="2"/>
      <c r="F442" s="2"/>
    </row>
    <row r="443" spans="1:6" x14ac:dyDescent="0.25">
      <c r="B443" s="2" t="s">
        <v>155</v>
      </c>
      <c r="C443" s="3">
        <v>45915</v>
      </c>
      <c r="D443" s="2">
        <v>95</v>
      </c>
      <c r="E443" s="2"/>
      <c r="F443" s="2"/>
    </row>
    <row r="444" spans="1:6" x14ac:dyDescent="0.25">
      <c r="B444" s="2" t="s">
        <v>155</v>
      </c>
      <c r="C444" s="3">
        <v>45929</v>
      </c>
      <c r="D444" s="2">
        <v>176</v>
      </c>
      <c r="E444" s="2"/>
      <c r="F444" s="2"/>
    </row>
    <row r="445" spans="1:6" x14ac:dyDescent="0.25">
      <c r="B445" s="2" t="s">
        <v>155</v>
      </c>
      <c r="C445" s="3">
        <v>45943</v>
      </c>
      <c r="D445" s="2">
        <v>202</v>
      </c>
      <c r="E445" s="2"/>
      <c r="F445" s="2"/>
    </row>
    <row r="446" spans="1:6" x14ac:dyDescent="0.25">
      <c r="A446" t="s">
        <v>156</v>
      </c>
      <c r="B446" s="2" t="s">
        <v>157</v>
      </c>
      <c r="C446" s="3">
        <v>45873</v>
      </c>
      <c r="D446" s="2">
        <v>166</v>
      </c>
      <c r="E446" s="2"/>
      <c r="F446" s="2"/>
    </row>
    <row r="447" spans="1:6" x14ac:dyDescent="0.25">
      <c r="B447" s="2" t="s">
        <v>157</v>
      </c>
      <c r="C447" s="3">
        <v>45887</v>
      </c>
      <c r="D447" s="2">
        <v>231</v>
      </c>
      <c r="E447" s="2"/>
      <c r="F447" s="2"/>
    </row>
    <row r="448" spans="1:6" x14ac:dyDescent="0.25">
      <c r="B448" s="2" t="s">
        <v>157</v>
      </c>
      <c r="C448" s="3">
        <v>45901</v>
      </c>
      <c r="D448" s="2">
        <v>207</v>
      </c>
      <c r="E448" s="2"/>
      <c r="F448" s="2"/>
    </row>
    <row r="449" spans="1:6" x14ac:dyDescent="0.25">
      <c r="B449" s="2" t="s">
        <v>157</v>
      </c>
      <c r="C449" s="3">
        <v>45915</v>
      </c>
      <c r="D449" s="2">
        <v>166</v>
      </c>
      <c r="E449" s="2"/>
      <c r="F449" s="2"/>
    </row>
    <row r="450" spans="1:6" x14ac:dyDescent="0.25">
      <c r="B450" s="2" t="s">
        <v>157</v>
      </c>
      <c r="C450" s="3">
        <v>45929</v>
      </c>
      <c r="D450" s="2">
        <v>114</v>
      </c>
      <c r="E450" s="2"/>
      <c r="F450" s="2"/>
    </row>
    <row r="451" spans="1:6" x14ac:dyDescent="0.25">
      <c r="B451" s="2" t="s">
        <v>157</v>
      </c>
      <c r="C451" s="3">
        <v>45943</v>
      </c>
      <c r="D451" s="2">
        <v>201</v>
      </c>
      <c r="E451" s="2"/>
      <c r="F451" s="2"/>
    </row>
    <row r="452" spans="1:6" x14ac:dyDescent="0.25">
      <c r="A452" t="s">
        <v>158</v>
      </c>
      <c r="B452" s="2" t="s">
        <v>159</v>
      </c>
      <c r="C452" s="3">
        <v>45873</v>
      </c>
      <c r="D452" s="2">
        <v>150</v>
      </c>
      <c r="E452" s="2"/>
      <c r="F452" s="2"/>
    </row>
    <row r="453" spans="1:6" x14ac:dyDescent="0.25">
      <c r="B453" s="2" t="s">
        <v>159</v>
      </c>
      <c r="C453" s="3">
        <v>45887</v>
      </c>
      <c r="D453" s="2">
        <v>250</v>
      </c>
      <c r="E453" s="2"/>
      <c r="F453" s="2"/>
    </row>
    <row r="454" spans="1:6" x14ac:dyDescent="0.25">
      <c r="B454" s="2" t="s">
        <v>159</v>
      </c>
      <c r="C454" s="3">
        <v>45901</v>
      </c>
      <c r="D454" s="2">
        <v>261</v>
      </c>
      <c r="E454" s="2"/>
      <c r="F454" s="2"/>
    </row>
    <row r="455" spans="1:6" x14ac:dyDescent="0.25">
      <c r="B455" s="2" t="s">
        <v>159</v>
      </c>
      <c r="C455" s="3">
        <v>45915</v>
      </c>
      <c r="D455" s="2">
        <v>152</v>
      </c>
      <c r="E455" s="2"/>
      <c r="F455" s="2"/>
    </row>
    <row r="456" spans="1:6" x14ac:dyDescent="0.25">
      <c r="B456" s="2" t="s">
        <v>159</v>
      </c>
      <c r="C456" s="3">
        <v>45929</v>
      </c>
      <c r="D456" s="2">
        <v>128</v>
      </c>
      <c r="E456" s="2"/>
      <c r="F456" s="2"/>
    </row>
    <row r="457" spans="1:6" x14ac:dyDescent="0.25">
      <c r="B457" s="2" t="s">
        <v>159</v>
      </c>
      <c r="C457" s="3">
        <v>45943</v>
      </c>
      <c r="D457" s="2">
        <v>161</v>
      </c>
      <c r="E457" s="2"/>
      <c r="F457" s="2"/>
    </row>
    <row r="458" spans="1:6" x14ac:dyDescent="0.25">
      <c r="A458" t="s">
        <v>160</v>
      </c>
      <c r="B458" s="2" t="s">
        <v>161</v>
      </c>
      <c r="C458" s="3">
        <v>45873</v>
      </c>
      <c r="D458" s="2">
        <v>2267</v>
      </c>
      <c r="E458" s="2"/>
      <c r="F458" s="2"/>
    </row>
    <row r="459" spans="1:6" x14ac:dyDescent="0.25">
      <c r="B459" s="2" t="s">
        <v>161</v>
      </c>
      <c r="C459" s="3">
        <v>45887</v>
      </c>
      <c r="D459" s="2">
        <v>507</v>
      </c>
      <c r="E459" s="2"/>
      <c r="F459" s="2"/>
    </row>
    <row r="460" spans="1:6" x14ac:dyDescent="0.25">
      <c r="B460" s="2" t="s">
        <v>161</v>
      </c>
      <c r="C460" s="3">
        <v>45901</v>
      </c>
      <c r="D460" s="2">
        <v>997</v>
      </c>
      <c r="E460" s="2"/>
      <c r="F460" s="2"/>
    </row>
    <row r="461" spans="1:6" x14ac:dyDescent="0.25">
      <c r="B461" s="2" t="s">
        <v>161</v>
      </c>
      <c r="C461" s="3">
        <v>45915</v>
      </c>
      <c r="D461" s="2">
        <v>257</v>
      </c>
      <c r="E461" s="2"/>
      <c r="F461" s="2"/>
    </row>
    <row r="462" spans="1:6" x14ac:dyDescent="0.25">
      <c r="B462" s="2" t="s">
        <v>161</v>
      </c>
      <c r="C462" s="3">
        <v>45929</v>
      </c>
      <c r="D462" s="2">
        <v>182</v>
      </c>
      <c r="E462" s="2"/>
      <c r="F462" s="2"/>
    </row>
    <row r="463" spans="1:6" x14ac:dyDescent="0.25">
      <c r="B463" s="2" t="s">
        <v>161</v>
      </c>
      <c r="C463" s="3">
        <v>45943</v>
      </c>
      <c r="D463" s="2">
        <v>163</v>
      </c>
      <c r="E463" s="2"/>
      <c r="F463" s="2"/>
    </row>
    <row r="464" spans="1:6" x14ac:dyDescent="0.25">
      <c r="A464" t="s">
        <v>162</v>
      </c>
      <c r="B464" s="2" t="s">
        <v>163</v>
      </c>
      <c r="C464" s="3">
        <v>45873</v>
      </c>
      <c r="D464" s="2">
        <v>966</v>
      </c>
      <c r="E464" s="2"/>
      <c r="F464" s="2"/>
    </row>
    <row r="465" spans="1:6" x14ac:dyDescent="0.25">
      <c r="B465" s="2" t="s">
        <v>163</v>
      </c>
      <c r="C465" s="3">
        <v>45887</v>
      </c>
      <c r="D465" s="2">
        <v>246</v>
      </c>
      <c r="E465" s="2"/>
      <c r="F465" s="2"/>
    </row>
    <row r="466" spans="1:6" x14ac:dyDescent="0.25">
      <c r="B466" s="2" t="s">
        <v>163</v>
      </c>
      <c r="C466" s="3">
        <v>45901</v>
      </c>
      <c r="D466" s="2">
        <v>789</v>
      </c>
      <c r="E466" s="2"/>
      <c r="F466" s="2"/>
    </row>
    <row r="467" spans="1:6" x14ac:dyDescent="0.25">
      <c r="B467" s="2" t="s">
        <v>163</v>
      </c>
      <c r="C467" s="3">
        <v>45915</v>
      </c>
      <c r="D467" s="2">
        <v>349</v>
      </c>
      <c r="E467" s="2"/>
      <c r="F467" s="2"/>
    </row>
    <row r="468" spans="1:6" x14ac:dyDescent="0.25">
      <c r="B468" s="2" t="s">
        <v>163</v>
      </c>
      <c r="C468" s="3">
        <v>45929</v>
      </c>
      <c r="D468" s="2">
        <v>253</v>
      </c>
      <c r="E468" s="2"/>
      <c r="F468" s="2"/>
    </row>
    <row r="469" spans="1:6" x14ac:dyDescent="0.25">
      <c r="B469" s="2" t="s">
        <v>163</v>
      </c>
      <c r="C469" s="3">
        <v>45943</v>
      </c>
      <c r="D469" s="2">
        <v>457</v>
      </c>
      <c r="E469" s="2"/>
      <c r="F469" s="2"/>
    </row>
    <row r="470" spans="1:6" x14ac:dyDescent="0.25">
      <c r="A470" t="s">
        <v>164</v>
      </c>
      <c r="B470" s="2" t="s">
        <v>165</v>
      </c>
      <c r="C470" s="3">
        <v>45873</v>
      </c>
      <c r="D470" s="2">
        <v>99</v>
      </c>
      <c r="E470" s="2"/>
      <c r="F470" s="2"/>
    </row>
    <row r="471" spans="1:6" x14ac:dyDescent="0.25">
      <c r="B471" s="2" t="s">
        <v>165</v>
      </c>
      <c r="C471" s="3">
        <v>45887</v>
      </c>
      <c r="D471" s="2">
        <v>153</v>
      </c>
      <c r="E471" s="2"/>
      <c r="F471" s="2"/>
    </row>
    <row r="472" spans="1:6" x14ac:dyDescent="0.25">
      <c r="B472" s="2" t="s">
        <v>165</v>
      </c>
      <c r="C472" s="3">
        <v>45901</v>
      </c>
      <c r="D472" s="2">
        <v>150</v>
      </c>
      <c r="E472" s="2"/>
      <c r="F472" s="2"/>
    </row>
    <row r="473" spans="1:6" x14ac:dyDescent="0.25">
      <c r="B473" s="2" t="s">
        <v>165</v>
      </c>
      <c r="C473" s="3">
        <v>45915</v>
      </c>
      <c r="D473" s="2">
        <v>137</v>
      </c>
      <c r="E473" s="2"/>
      <c r="F473" s="2"/>
    </row>
    <row r="474" spans="1:6" x14ac:dyDescent="0.25">
      <c r="B474" s="2" t="s">
        <v>165</v>
      </c>
      <c r="C474" s="3">
        <v>45929</v>
      </c>
      <c r="D474" s="2">
        <v>123</v>
      </c>
      <c r="E474" s="2"/>
      <c r="F474" s="2"/>
    </row>
    <row r="475" spans="1:6" x14ac:dyDescent="0.25">
      <c r="B475" s="2" t="s">
        <v>165</v>
      </c>
      <c r="C475" s="3">
        <v>45943</v>
      </c>
      <c r="D475" s="2">
        <v>183</v>
      </c>
      <c r="E475" s="2"/>
      <c r="F475" s="2"/>
    </row>
    <row r="476" spans="1:6" x14ac:dyDescent="0.25">
      <c r="A476" t="s">
        <v>166</v>
      </c>
      <c r="B476" s="2" t="s">
        <v>167</v>
      </c>
      <c r="C476" s="3">
        <v>45873</v>
      </c>
      <c r="D476" s="2">
        <v>685</v>
      </c>
      <c r="E476" s="2"/>
      <c r="F476" s="2"/>
    </row>
    <row r="477" spans="1:6" x14ac:dyDescent="0.25">
      <c r="B477" s="2" t="s">
        <v>167</v>
      </c>
      <c r="C477" s="3">
        <v>45887</v>
      </c>
      <c r="D477" s="2">
        <v>325</v>
      </c>
      <c r="E477" s="2"/>
      <c r="F477" s="2"/>
    </row>
    <row r="478" spans="1:6" x14ac:dyDescent="0.25">
      <c r="B478" s="2" t="s">
        <v>167</v>
      </c>
      <c r="C478" s="3">
        <v>45901</v>
      </c>
      <c r="D478" s="2">
        <v>515</v>
      </c>
      <c r="E478" s="2"/>
      <c r="F478" s="2"/>
    </row>
    <row r="479" spans="1:6" x14ac:dyDescent="0.25">
      <c r="B479" s="2" t="s">
        <v>167</v>
      </c>
      <c r="C479" s="3">
        <v>45915</v>
      </c>
      <c r="D479" s="2">
        <v>240</v>
      </c>
      <c r="E479" s="2"/>
      <c r="F479" s="2"/>
    </row>
    <row r="480" spans="1:6" x14ac:dyDescent="0.25">
      <c r="B480" s="2" t="s">
        <v>167</v>
      </c>
      <c r="C480" s="3">
        <v>45929</v>
      </c>
      <c r="D480" s="2">
        <v>190</v>
      </c>
      <c r="E480" s="2"/>
      <c r="F480" s="2"/>
    </row>
    <row r="481" spans="1:6" x14ac:dyDescent="0.25">
      <c r="B481" s="2" t="s">
        <v>167</v>
      </c>
      <c r="C481" s="3">
        <v>45943</v>
      </c>
      <c r="D481" s="2">
        <v>222</v>
      </c>
      <c r="E481" s="2"/>
      <c r="F481" s="2"/>
    </row>
    <row r="482" spans="1:6" x14ac:dyDescent="0.25">
      <c r="A482" t="s">
        <v>168</v>
      </c>
      <c r="B482" s="2" t="s">
        <v>169</v>
      </c>
      <c r="C482" s="3">
        <v>45873</v>
      </c>
      <c r="D482" s="2">
        <v>111</v>
      </c>
      <c r="E482" s="2"/>
      <c r="F482" s="2"/>
    </row>
    <row r="483" spans="1:6" x14ac:dyDescent="0.25">
      <c r="B483" s="2" t="s">
        <v>169</v>
      </c>
      <c r="C483" s="3">
        <v>45887</v>
      </c>
      <c r="D483" s="2">
        <v>111</v>
      </c>
      <c r="E483" s="2"/>
      <c r="F483" s="2"/>
    </row>
    <row r="484" spans="1:6" x14ac:dyDescent="0.25">
      <c r="B484" s="2" t="s">
        <v>169</v>
      </c>
      <c r="C484" s="3">
        <v>45901</v>
      </c>
      <c r="D484" s="2">
        <v>150</v>
      </c>
      <c r="E484" s="2"/>
      <c r="F484" s="2"/>
    </row>
    <row r="485" spans="1:6" x14ac:dyDescent="0.25">
      <c r="B485" s="2" t="s">
        <v>169</v>
      </c>
      <c r="C485" s="3">
        <v>45915</v>
      </c>
      <c r="D485" s="2">
        <v>77</v>
      </c>
      <c r="E485" s="2"/>
      <c r="F485" s="2"/>
    </row>
    <row r="486" spans="1:6" x14ac:dyDescent="0.25">
      <c r="B486" s="2" t="s">
        <v>169</v>
      </c>
      <c r="C486" s="3">
        <v>45929</v>
      </c>
      <c r="D486" s="2">
        <v>89</v>
      </c>
      <c r="E486" s="2"/>
      <c r="F486" s="2"/>
    </row>
    <row r="487" spans="1:6" x14ac:dyDescent="0.25">
      <c r="B487" s="2" t="s">
        <v>169</v>
      </c>
      <c r="C487" s="3">
        <v>45943</v>
      </c>
      <c r="D487" s="2">
        <v>95</v>
      </c>
      <c r="E487" s="2"/>
      <c r="F487" s="2"/>
    </row>
    <row r="488" spans="1:6" x14ac:dyDescent="0.25">
      <c r="A488" t="s">
        <v>170</v>
      </c>
      <c r="B488" s="2" t="s">
        <v>171</v>
      </c>
      <c r="C488" s="3">
        <v>45873</v>
      </c>
      <c r="D488" s="2">
        <v>760</v>
      </c>
      <c r="E488" s="2"/>
      <c r="F488" s="2"/>
    </row>
    <row r="489" spans="1:6" x14ac:dyDescent="0.25">
      <c r="B489" s="2" t="s">
        <v>171</v>
      </c>
      <c r="C489" s="3">
        <v>45887</v>
      </c>
      <c r="D489" s="2">
        <v>194</v>
      </c>
      <c r="E489" s="2"/>
      <c r="F489" s="2"/>
    </row>
    <row r="490" spans="1:6" x14ac:dyDescent="0.25">
      <c r="B490" s="2" t="s">
        <v>171</v>
      </c>
      <c r="C490" s="3">
        <v>45901</v>
      </c>
      <c r="D490" s="2">
        <v>214</v>
      </c>
      <c r="E490" s="2"/>
      <c r="F490" s="2"/>
    </row>
    <row r="491" spans="1:6" x14ac:dyDescent="0.25">
      <c r="B491" s="2" t="s">
        <v>171</v>
      </c>
      <c r="C491" s="3">
        <v>45915</v>
      </c>
      <c r="D491" s="2">
        <v>189</v>
      </c>
      <c r="E491" s="2"/>
      <c r="F491" s="2"/>
    </row>
    <row r="492" spans="1:6" x14ac:dyDescent="0.25">
      <c r="B492" s="2" t="s">
        <v>171</v>
      </c>
      <c r="C492" s="3">
        <v>45929</v>
      </c>
      <c r="D492" s="2">
        <v>155</v>
      </c>
      <c r="E492" s="2"/>
      <c r="F492" s="2"/>
    </row>
    <row r="493" spans="1:6" x14ac:dyDescent="0.25">
      <c r="B493" s="2" t="s">
        <v>171</v>
      </c>
      <c r="C493" s="3">
        <v>45943</v>
      </c>
      <c r="D493" s="2">
        <v>211</v>
      </c>
      <c r="E493" s="2"/>
      <c r="F493" s="2"/>
    </row>
    <row r="494" spans="1:6" x14ac:dyDescent="0.25">
      <c r="A494" t="s">
        <v>172</v>
      </c>
      <c r="B494" s="2" t="s">
        <v>173</v>
      </c>
      <c r="C494" s="3">
        <v>45873</v>
      </c>
      <c r="D494" s="2">
        <v>1890</v>
      </c>
      <c r="E494" s="2"/>
      <c r="F494" s="2"/>
    </row>
    <row r="495" spans="1:6" x14ac:dyDescent="0.25">
      <c r="B495" s="2" t="s">
        <v>173</v>
      </c>
      <c r="C495" s="3">
        <v>45887</v>
      </c>
      <c r="D495" s="2">
        <v>635</v>
      </c>
      <c r="E495" s="2"/>
      <c r="F495" s="2"/>
    </row>
    <row r="496" spans="1:6" x14ac:dyDescent="0.25">
      <c r="B496" s="2" t="s">
        <v>173</v>
      </c>
      <c r="C496" s="3">
        <v>45901</v>
      </c>
      <c r="D496" s="2">
        <v>766</v>
      </c>
      <c r="E496" s="2"/>
      <c r="F496" s="2"/>
    </row>
    <row r="497" spans="1:6" x14ac:dyDescent="0.25">
      <c r="B497" s="2" t="s">
        <v>173</v>
      </c>
      <c r="C497" s="3">
        <v>45915</v>
      </c>
      <c r="D497" s="2">
        <v>166</v>
      </c>
      <c r="E497" s="2"/>
      <c r="F497" s="2"/>
    </row>
    <row r="498" spans="1:6" x14ac:dyDescent="0.25">
      <c r="B498" s="2" t="s">
        <v>173</v>
      </c>
      <c r="C498" s="3">
        <v>45929</v>
      </c>
      <c r="D498" s="2">
        <v>114</v>
      </c>
      <c r="E498" s="2"/>
      <c r="F498" s="2"/>
    </row>
    <row r="499" spans="1:6" x14ac:dyDescent="0.25">
      <c r="B499" s="2" t="s">
        <v>173</v>
      </c>
      <c r="C499" s="3">
        <v>45943</v>
      </c>
      <c r="D499" s="2">
        <v>231</v>
      </c>
      <c r="E499" s="2"/>
      <c r="F499" s="2"/>
    </row>
    <row r="500" spans="1:6" x14ac:dyDescent="0.25">
      <c r="A500" t="s">
        <v>174</v>
      </c>
      <c r="B500" s="2" t="s">
        <v>175</v>
      </c>
      <c r="C500" s="3">
        <v>45873</v>
      </c>
      <c r="D500" s="2">
        <v>132</v>
      </c>
      <c r="E500" s="2"/>
      <c r="F500" s="2"/>
    </row>
    <row r="501" spans="1:6" x14ac:dyDescent="0.25">
      <c r="B501" s="2" t="s">
        <v>175</v>
      </c>
      <c r="C501" s="3">
        <v>45887</v>
      </c>
      <c r="D501" s="2">
        <v>119</v>
      </c>
      <c r="E501" s="2"/>
      <c r="F501" s="2"/>
    </row>
    <row r="502" spans="1:6" x14ac:dyDescent="0.25">
      <c r="B502" s="2" t="s">
        <v>175</v>
      </c>
      <c r="C502" s="3">
        <v>45901</v>
      </c>
      <c r="D502" s="2">
        <v>141</v>
      </c>
      <c r="E502" s="2"/>
      <c r="F502" s="2"/>
    </row>
    <row r="503" spans="1:6" x14ac:dyDescent="0.25">
      <c r="B503" s="2" t="s">
        <v>175</v>
      </c>
      <c r="C503" s="3">
        <v>45915</v>
      </c>
      <c r="D503" s="2">
        <v>167</v>
      </c>
      <c r="E503" s="2"/>
      <c r="F503" s="2"/>
    </row>
    <row r="504" spans="1:6" x14ac:dyDescent="0.25">
      <c r="B504" s="2" t="s">
        <v>175</v>
      </c>
      <c r="C504" s="3">
        <v>45929</v>
      </c>
      <c r="D504" s="2">
        <v>152</v>
      </c>
      <c r="E504" s="2"/>
      <c r="F504" s="2"/>
    </row>
    <row r="505" spans="1:6" x14ac:dyDescent="0.25">
      <c r="B505" s="2" t="s">
        <v>175</v>
      </c>
      <c r="C505" s="3">
        <v>45943</v>
      </c>
      <c r="D505" s="2">
        <v>169</v>
      </c>
      <c r="E505" s="2"/>
      <c r="F505" s="2"/>
    </row>
    <row r="506" spans="1:6" x14ac:dyDescent="0.25">
      <c r="A506" t="s">
        <v>176</v>
      </c>
      <c r="B506" s="2" t="s">
        <v>177</v>
      </c>
      <c r="C506" s="3">
        <v>45873</v>
      </c>
      <c r="D506" s="2">
        <v>246</v>
      </c>
      <c r="E506" s="2"/>
      <c r="F506" s="2"/>
    </row>
    <row r="507" spans="1:6" x14ac:dyDescent="0.25">
      <c r="B507" s="2" t="s">
        <v>177</v>
      </c>
      <c r="C507" s="3">
        <v>45887</v>
      </c>
      <c r="D507" s="2">
        <v>205</v>
      </c>
      <c r="E507" s="2"/>
      <c r="F507" s="2"/>
    </row>
    <row r="508" spans="1:6" x14ac:dyDescent="0.25">
      <c r="B508" s="2" t="s">
        <v>177</v>
      </c>
      <c r="C508" s="3">
        <v>45901</v>
      </c>
      <c r="D508" s="2">
        <v>126</v>
      </c>
      <c r="E508" s="2"/>
      <c r="F508" s="2"/>
    </row>
    <row r="509" spans="1:6" x14ac:dyDescent="0.25">
      <c r="B509" s="2" t="s">
        <v>177</v>
      </c>
      <c r="C509" s="3">
        <v>45915</v>
      </c>
      <c r="D509" s="2">
        <v>173</v>
      </c>
      <c r="E509" s="2"/>
      <c r="F509" s="2"/>
    </row>
    <row r="510" spans="1:6" x14ac:dyDescent="0.25">
      <c r="B510" s="2" t="s">
        <v>177</v>
      </c>
      <c r="C510" s="3">
        <v>45929</v>
      </c>
      <c r="D510" s="2">
        <v>266</v>
      </c>
      <c r="E510" s="2"/>
      <c r="F510" s="2"/>
    </row>
    <row r="511" spans="1:6" x14ac:dyDescent="0.25">
      <c r="B511" s="2" t="s">
        <v>177</v>
      </c>
      <c r="C511" s="3">
        <v>45943</v>
      </c>
      <c r="D511" s="2">
        <v>276</v>
      </c>
      <c r="E511" s="2"/>
      <c r="F511" s="2"/>
    </row>
    <row r="512" spans="1:6" x14ac:dyDescent="0.25">
      <c r="A512" t="s">
        <v>178</v>
      </c>
      <c r="B512" s="2" t="s">
        <v>179</v>
      </c>
      <c r="C512" s="3">
        <v>45873</v>
      </c>
      <c r="D512" s="2">
        <v>441</v>
      </c>
      <c r="E512" s="2"/>
      <c r="F512" s="2"/>
    </row>
    <row r="513" spans="1:6" x14ac:dyDescent="0.25">
      <c r="B513" s="2" t="s">
        <v>179</v>
      </c>
      <c r="C513" s="3">
        <v>45887</v>
      </c>
      <c r="D513" s="2">
        <v>221</v>
      </c>
      <c r="E513" s="2"/>
      <c r="F513" s="2"/>
    </row>
    <row r="514" spans="1:6" x14ac:dyDescent="0.25">
      <c r="B514" s="2" t="s">
        <v>179</v>
      </c>
      <c r="C514" s="3">
        <v>45901</v>
      </c>
      <c r="D514" s="2">
        <v>775</v>
      </c>
      <c r="E514" s="2"/>
      <c r="F514" s="2"/>
    </row>
    <row r="515" spans="1:6" x14ac:dyDescent="0.25">
      <c r="B515" s="2" t="s">
        <v>179</v>
      </c>
      <c r="C515" s="3">
        <v>45915</v>
      </c>
      <c r="D515" s="2">
        <v>172</v>
      </c>
      <c r="E515" s="2"/>
      <c r="F515" s="2"/>
    </row>
    <row r="516" spans="1:6" x14ac:dyDescent="0.25">
      <c r="B516" s="2" t="s">
        <v>179</v>
      </c>
      <c r="C516" s="3">
        <v>45929</v>
      </c>
      <c r="D516" s="2">
        <v>617</v>
      </c>
      <c r="E516" s="2"/>
      <c r="F516" s="2"/>
    </row>
    <row r="517" spans="1:6" x14ac:dyDescent="0.25">
      <c r="B517" s="2" t="s">
        <v>179</v>
      </c>
      <c r="C517" s="3">
        <v>45943</v>
      </c>
      <c r="D517" s="2">
        <v>592</v>
      </c>
      <c r="E517" s="2"/>
      <c r="F517" s="2"/>
    </row>
    <row r="518" spans="1:6" x14ac:dyDescent="0.25">
      <c r="A518" t="s">
        <v>180</v>
      </c>
      <c r="B518" s="2" t="s">
        <v>181</v>
      </c>
      <c r="C518" s="3">
        <v>45873</v>
      </c>
      <c r="D518" s="2">
        <v>56</v>
      </c>
      <c r="E518" s="2"/>
      <c r="F518" s="2"/>
    </row>
    <row r="519" spans="1:6" x14ac:dyDescent="0.25">
      <c r="B519" s="2" t="s">
        <v>181</v>
      </c>
      <c r="C519" s="3">
        <v>45887</v>
      </c>
      <c r="D519" s="2">
        <v>98</v>
      </c>
      <c r="E519" s="2"/>
      <c r="F519" s="2"/>
    </row>
    <row r="520" spans="1:6" x14ac:dyDescent="0.25">
      <c r="B520" s="2" t="s">
        <v>181</v>
      </c>
      <c r="C520" s="3">
        <v>45901</v>
      </c>
      <c r="D520" s="2">
        <v>103</v>
      </c>
      <c r="E520" s="2"/>
      <c r="F520" s="2"/>
    </row>
    <row r="521" spans="1:6" x14ac:dyDescent="0.25">
      <c r="B521" s="2" t="s">
        <v>181</v>
      </c>
      <c r="C521" s="3">
        <v>45915</v>
      </c>
      <c r="D521" s="2">
        <v>102</v>
      </c>
      <c r="E521" s="2"/>
      <c r="F521" s="2"/>
    </row>
    <row r="522" spans="1:6" x14ac:dyDescent="0.25">
      <c r="B522" s="2" t="s">
        <v>181</v>
      </c>
      <c r="C522" s="3">
        <v>45929</v>
      </c>
      <c r="D522" s="2">
        <v>24</v>
      </c>
      <c r="E522" s="2"/>
      <c r="F522" s="2"/>
    </row>
    <row r="523" spans="1:6" x14ac:dyDescent="0.25">
      <c r="B523" s="2" t="s">
        <v>181</v>
      </c>
      <c r="C523" s="3">
        <v>45943</v>
      </c>
      <c r="D523" s="2">
        <v>91</v>
      </c>
      <c r="E523" s="2"/>
      <c r="F523" s="2"/>
    </row>
    <row r="524" spans="1:6" x14ac:dyDescent="0.25">
      <c r="A524" t="s">
        <v>182</v>
      </c>
      <c r="B524" s="2" t="s">
        <v>183</v>
      </c>
      <c r="C524" s="3">
        <v>45873</v>
      </c>
      <c r="D524" s="2">
        <v>145</v>
      </c>
      <c r="E524" s="2"/>
      <c r="F524" s="2"/>
    </row>
    <row r="525" spans="1:6" x14ac:dyDescent="0.25">
      <c r="B525" s="2" t="s">
        <v>183</v>
      </c>
      <c r="C525" s="3">
        <v>45887</v>
      </c>
      <c r="D525" s="2">
        <v>124</v>
      </c>
      <c r="E525" s="2"/>
      <c r="F525" s="2"/>
    </row>
    <row r="526" spans="1:6" x14ac:dyDescent="0.25">
      <c r="B526" s="2" t="s">
        <v>183</v>
      </c>
      <c r="C526" s="3">
        <v>45901</v>
      </c>
      <c r="D526" s="2">
        <v>141</v>
      </c>
      <c r="E526" s="2"/>
      <c r="F526" s="2"/>
    </row>
    <row r="527" spans="1:6" x14ac:dyDescent="0.25">
      <c r="B527" s="2" t="s">
        <v>183</v>
      </c>
      <c r="C527" s="3">
        <v>45915</v>
      </c>
      <c r="D527" s="2">
        <v>130</v>
      </c>
      <c r="E527" s="2"/>
      <c r="F527" s="2"/>
    </row>
    <row r="528" spans="1:6" x14ac:dyDescent="0.25">
      <c r="B528" s="2" t="s">
        <v>183</v>
      </c>
      <c r="C528" s="3">
        <v>45929</v>
      </c>
      <c r="D528" s="2">
        <v>250</v>
      </c>
      <c r="E528" s="2"/>
      <c r="F528" s="2"/>
    </row>
    <row r="529" spans="1:6" x14ac:dyDescent="0.25">
      <c r="B529" s="2" t="s">
        <v>183</v>
      </c>
      <c r="C529" s="3">
        <v>45943</v>
      </c>
      <c r="D529" s="2">
        <v>173</v>
      </c>
      <c r="E529" s="2"/>
      <c r="F529" s="2"/>
    </row>
    <row r="530" spans="1:6" x14ac:dyDescent="0.25">
      <c r="A530" t="s">
        <v>184</v>
      </c>
      <c r="B530" s="2" t="s">
        <v>185</v>
      </c>
      <c r="C530" s="3">
        <v>45873</v>
      </c>
      <c r="D530" s="2">
        <v>1890</v>
      </c>
      <c r="E530" s="2"/>
      <c r="F530" s="2"/>
    </row>
    <row r="531" spans="1:6" x14ac:dyDescent="0.25">
      <c r="B531" s="2" t="s">
        <v>185</v>
      </c>
      <c r="C531" s="3">
        <v>45887</v>
      </c>
      <c r="D531" s="2">
        <v>214</v>
      </c>
      <c r="E531" s="2"/>
      <c r="F531" s="2"/>
    </row>
    <row r="532" spans="1:6" x14ac:dyDescent="0.25">
      <c r="B532" s="2" t="s">
        <v>185</v>
      </c>
      <c r="C532" s="3">
        <v>45901</v>
      </c>
      <c r="D532" s="2">
        <v>1095</v>
      </c>
      <c r="E532" s="2"/>
      <c r="F532" s="2"/>
    </row>
    <row r="533" spans="1:6" x14ac:dyDescent="0.25">
      <c r="B533" s="2" t="s">
        <v>185</v>
      </c>
      <c r="C533" s="3">
        <v>45915</v>
      </c>
      <c r="D533" s="2">
        <v>117</v>
      </c>
      <c r="E533" s="2"/>
      <c r="F533" s="2"/>
    </row>
    <row r="534" spans="1:6" x14ac:dyDescent="0.25">
      <c r="B534" s="2" t="s">
        <v>185</v>
      </c>
      <c r="C534" s="3">
        <v>45929</v>
      </c>
      <c r="D534" s="2">
        <v>123</v>
      </c>
      <c r="E534" s="2"/>
      <c r="F534" s="2"/>
    </row>
    <row r="535" spans="1:6" x14ac:dyDescent="0.25">
      <c r="B535" s="2" t="s">
        <v>185</v>
      </c>
      <c r="C535" s="3">
        <v>45943</v>
      </c>
      <c r="D535" s="2">
        <v>126</v>
      </c>
      <c r="E535" s="2"/>
      <c r="F535" s="2"/>
    </row>
    <row r="536" spans="1:6" x14ac:dyDescent="0.25">
      <c r="A536" t="s">
        <v>186</v>
      </c>
      <c r="B536" s="2" t="s">
        <v>187</v>
      </c>
      <c r="C536" s="3">
        <v>45873</v>
      </c>
      <c r="D536" s="2">
        <v>247</v>
      </c>
      <c r="E536" s="2"/>
      <c r="F536" s="2"/>
    </row>
    <row r="537" spans="1:6" x14ac:dyDescent="0.25">
      <c r="B537" s="2" t="s">
        <v>187</v>
      </c>
      <c r="C537" s="3">
        <v>45887</v>
      </c>
      <c r="D537" s="2">
        <v>157</v>
      </c>
      <c r="E537" s="2"/>
      <c r="F537" s="2"/>
    </row>
    <row r="538" spans="1:6" x14ac:dyDescent="0.25">
      <c r="B538" s="2" t="s">
        <v>187</v>
      </c>
      <c r="C538" s="3">
        <v>45901</v>
      </c>
      <c r="D538" s="2">
        <v>260</v>
      </c>
      <c r="E538" s="2"/>
      <c r="F538" s="2"/>
    </row>
    <row r="539" spans="1:6" x14ac:dyDescent="0.25">
      <c r="B539" s="2" t="s">
        <v>187</v>
      </c>
      <c r="C539" s="3">
        <v>45915</v>
      </c>
      <c r="D539" s="2">
        <v>176</v>
      </c>
      <c r="E539" s="2"/>
      <c r="F539" s="2"/>
    </row>
    <row r="540" spans="1:6" x14ac:dyDescent="0.25">
      <c r="B540" s="2" t="s">
        <v>187</v>
      </c>
      <c r="C540" s="3">
        <v>45929</v>
      </c>
      <c r="D540" s="2">
        <v>198</v>
      </c>
      <c r="E540" s="2"/>
      <c r="F540" s="2"/>
    </row>
    <row r="541" spans="1:6" x14ac:dyDescent="0.25">
      <c r="B541" s="2" t="s">
        <v>187</v>
      </c>
      <c r="C541" s="3">
        <v>45943</v>
      </c>
      <c r="D541" s="2">
        <v>146</v>
      </c>
      <c r="E541" s="2"/>
      <c r="F541" s="2"/>
    </row>
    <row r="542" spans="1:6" x14ac:dyDescent="0.25">
      <c r="A542" t="s">
        <v>188</v>
      </c>
      <c r="B542" s="2" t="s">
        <v>189</v>
      </c>
      <c r="C542" s="3">
        <v>45873</v>
      </c>
      <c r="D542" s="2">
        <v>245</v>
      </c>
      <c r="E542" s="2"/>
      <c r="F542" s="2"/>
    </row>
    <row r="543" spans="1:6" x14ac:dyDescent="0.25">
      <c r="B543" s="2" t="s">
        <v>189</v>
      </c>
      <c r="C543" s="3">
        <v>45887</v>
      </c>
      <c r="D543" s="2">
        <v>135</v>
      </c>
      <c r="E543" s="2"/>
      <c r="F543" s="2"/>
    </row>
    <row r="544" spans="1:6" x14ac:dyDescent="0.25">
      <c r="B544" s="2" t="s">
        <v>189</v>
      </c>
      <c r="C544" s="3">
        <v>45901</v>
      </c>
      <c r="D544" s="2">
        <v>570</v>
      </c>
      <c r="E544" s="2"/>
      <c r="F544" s="2"/>
    </row>
    <row r="545" spans="1:6" x14ac:dyDescent="0.25">
      <c r="B545" s="2" t="s">
        <v>189</v>
      </c>
      <c r="C545" s="3">
        <v>45915</v>
      </c>
      <c r="D545" s="2">
        <v>97</v>
      </c>
      <c r="E545" s="2"/>
      <c r="F545" s="2"/>
    </row>
    <row r="546" spans="1:6" x14ac:dyDescent="0.25">
      <c r="B546" s="2" t="s">
        <v>189</v>
      </c>
      <c r="C546" s="3">
        <v>45929</v>
      </c>
      <c r="D546" s="2">
        <v>86</v>
      </c>
      <c r="E546" s="2"/>
      <c r="F546" s="2"/>
    </row>
    <row r="547" spans="1:6" x14ac:dyDescent="0.25">
      <c r="B547" s="2" t="s">
        <v>189</v>
      </c>
      <c r="C547" s="3">
        <v>45943</v>
      </c>
      <c r="D547" s="2">
        <v>77</v>
      </c>
      <c r="E547" s="2"/>
      <c r="F547" s="2"/>
    </row>
    <row r="548" spans="1:6" x14ac:dyDescent="0.25">
      <c r="A548" t="s">
        <v>190</v>
      </c>
      <c r="B548" s="2" t="s">
        <v>191</v>
      </c>
      <c r="C548" s="3">
        <v>45873</v>
      </c>
      <c r="D548" s="2">
        <v>210</v>
      </c>
      <c r="E548" s="2"/>
      <c r="F548" s="2"/>
    </row>
    <row r="549" spans="1:6" x14ac:dyDescent="0.25">
      <c r="B549" s="2" t="s">
        <v>191</v>
      </c>
      <c r="C549" s="3">
        <v>45887</v>
      </c>
      <c r="D549" s="2">
        <v>127</v>
      </c>
      <c r="E549" s="2"/>
      <c r="F549" s="2"/>
    </row>
    <row r="550" spans="1:6" x14ac:dyDescent="0.25">
      <c r="B550" s="2" t="s">
        <v>191</v>
      </c>
      <c r="C550" s="3">
        <v>45901</v>
      </c>
      <c r="D550" s="2">
        <v>140</v>
      </c>
      <c r="E550" s="2"/>
      <c r="F550" s="2"/>
    </row>
    <row r="551" spans="1:6" x14ac:dyDescent="0.25">
      <c r="B551" s="2" t="s">
        <v>191</v>
      </c>
      <c r="C551" s="3">
        <v>45915</v>
      </c>
      <c r="D551" s="2">
        <v>90</v>
      </c>
      <c r="E551" s="2"/>
      <c r="F551" s="2"/>
    </row>
    <row r="552" spans="1:6" x14ac:dyDescent="0.25">
      <c r="B552" s="2" t="s">
        <v>191</v>
      </c>
      <c r="C552" s="3">
        <v>45929</v>
      </c>
      <c r="D552" s="2">
        <v>52</v>
      </c>
      <c r="E552" s="2"/>
      <c r="F552" s="2"/>
    </row>
    <row r="553" spans="1:6" x14ac:dyDescent="0.25">
      <c r="B553" s="2" t="s">
        <v>191</v>
      </c>
      <c r="C553" s="3">
        <v>45943</v>
      </c>
      <c r="D553" s="2">
        <v>97</v>
      </c>
      <c r="E553" s="2"/>
      <c r="F553" s="2"/>
    </row>
    <row r="554" spans="1:6" x14ac:dyDescent="0.25">
      <c r="A554" t="s">
        <v>192</v>
      </c>
      <c r="B554" s="2" t="s">
        <v>193</v>
      </c>
      <c r="C554" s="3">
        <v>45873</v>
      </c>
      <c r="D554" s="2">
        <v>112</v>
      </c>
      <c r="E554" s="2"/>
      <c r="F554" s="2"/>
    </row>
    <row r="555" spans="1:6" x14ac:dyDescent="0.25">
      <c r="B555" s="2" t="s">
        <v>193</v>
      </c>
      <c r="C555" s="3">
        <v>45887</v>
      </c>
      <c r="D555" s="2">
        <v>141</v>
      </c>
      <c r="E555" s="2"/>
      <c r="F555" s="2"/>
    </row>
    <row r="556" spans="1:6" x14ac:dyDescent="0.25">
      <c r="B556" s="2" t="s">
        <v>193</v>
      </c>
      <c r="C556" s="3">
        <v>45901</v>
      </c>
      <c r="D556" s="2">
        <v>156</v>
      </c>
      <c r="E556" s="2"/>
      <c r="F556" s="2"/>
    </row>
    <row r="557" spans="1:6" x14ac:dyDescent="0.25">
      <c r="B557" s="2" t="s">
        <v>193</v>
      </c>
      <c r="C557" s="3">
        <v>45915</v>
      </c>
      <c r="D557" s="2">
        <v>133</v>
      </c>
      <c r="E557" s="2"/>
      <c r="F557" s="2"/>
    </row>
    <row r="558" spans="1:6" x14ac:dyDescent="0.25">
      <c r="B558" s="2" t="s">
        <v>193</v>
      </c>
      <c r="C558" s="3">
        <v>45929</v>
      </c>
      <c r="D558" s="2">
        <v>67</v>
      </c>
      <c r="E558" s="2"/>
      <c r="F558" s="2"/>
    </row>
    <row r="559" spans="1:6" x14ac:dyDescent="0.25">
      <c r="B559" s="2" t="s">
        <v>193</v>
      </c>
      <c r="C559" s="3">
        <v>45943</v>
      </c>
      <c r="D559" s="2">
        <v>100</v>
      </c>
      <c r="E559" s="2"/>
      <c r="F559" s="2"/>
    </row>
    <row r="560" spans="1:6" x14ac:dyDescent="0.25">
      <c r="A560" t="s">
        <v>194</v>
      </c>
      <c r="B560" s="2" t="s">
        <v>195</v>
      </c>
      <c r="C560" s="3">
        <v>45873</v>
      </c>
      <c r="D560" s="2">
        <v>141</v>
      </c>
      <c r="E560" s="2"/>
      <c r="F560" s="2"/>
    </row>
    <row r="561" spans="1:6" x14ac:dyDescent="0.25">
      <c r="B561" s="2" t="s">
        <v>195</v>
      </c>
      <c r="C561" s="3">
        <v>45887</v>
      </c>
      <c r="D561" s="2">
        <v>136</v>
      </c>
      <c r="E561" s="2"/>
      <c r="F561" s="2"/>
    </row>
    <row r="562" spans="1:6" x14ac:dyDescent="0.25">
      <c r="B562" s="2" t="s">
        <v>195</v>
      </c>
      <c r="C562" s="3">
        <v>45901</v>
      </c>
      <c r="D562" s="2">
        <v>156</v>
      </c>
      <c r="E562" s="2"/>
      <c r="F562" s="2"/>
    </row>
    <row r="563" spans="1:6" x14ac:dyDescent="0.25">
      <c r="B563" s="2" t="s">
        <v>195</v>
      </c>
      <c r="C563" s="3">
        <v>45915</v>
      </c>
      <c r="D563" s="2">
        <v>84</v>
      </c>
      <c r="E563" s="2"/>
      <c r="F563" s="2"/>
    </row>
    <row r="564" spans="1:6" x14ac:dyDescent="0.25">
      <c r="B564" s="2" t="s">
        <v>195</v>
      </c>
      <c r="C564" s="3">
        <v>45929</v>
      </c>
      <c r="D564" s="2">
        <v>53</v>
      </c>
      <c r="E564" s="2"/>
      <c r="F564" s="2"/>
    </row>
    <row r="565" spans="1:6" x14ac:dyDescent="0.25">
      <c r="B565" s="2" t="s">
        <v>195</v>
      </c>
      <c r="C565" s="3">
        <v>45943</v>
      </c>
      <c r="D565" s="2">
        <v>116</v>
      </c>
      <c r="E565" s="2"/>
      <c r="F565" s="2"/>
    </row>
    <row r="566" spans="1:6" x14ac:dyDescent="0.25">
      <c r="A566" t="s">
        <v>196</v>
      </c>
      <c r="B566" s="2" t="s">
        <v>197</v>
      </c>
      <c r="C566" s="3">
        <v>45873</v>
      </c>
      <c r="D566" s="2">
        <v>134</v>
      </c>
      <c r="E566" s="2"/>
      <c r="F566" s="2"/>
    </row>
    <row r="567" spans="1:6" x14ac:dyDescent="0.25">
      <c r="B567" s="2" t="s">
        <v>197</v>
      </c>
      <c r="C567" s="3">
        <v>45887</v>
      </c>
      <c r="D567" s="2">
        <v>147</v>
      </c>
      <c r="E567" s="2"/>
      <c r="F567" s="2"/>
    </row>
    <row r="568" spans="1:6" x14ac:dyDescent="0.25">
      <c r="B568" s="2" t="s">
        <v>197</v>
      </c>
      <c r="C568" s="3">
        <v>45901</v>
      </c>
      <c r="D568" s="2">
        <v>175</v>
      </c>
      <c r="E568" s="2"/>
      <c r="F568" s="2"/>
    </row>
    <row r="569" spans="1:6" x14ac:dyDescent="0.25">
      <c r="B569" s="2" t="s">
        <v>197</v>
      </c>
      <c r="C569" s="3">
        <v>45915</v>
      </c>
      <c r="D569" s="2">
        <v>95</v>
      </c>
      <c r="E569" s="2"/>
      <c r="F569" s="2"/>
    </row>
    <row r="570" spans="1:6" x14ac:dyDescent="0.25">
      <c r="B570" s="2" t="s">
        <v>197</v>
      </c>
      <c r="C570" s="3">
        <v>45929</v>
      </c>
      <c r="D570" s="2">
        <v>58</v>
      </c>
      <c r="E570" s="2"/>
      <c r="F570" s="2"/>
    </row>
    <row r="571" spans="1:6" x14ac:dyDescent="0.25">
      <c r="B571" s="2" t="s">
        <v>197</v>
      </c>
      <c r="C571" s="3">
        <v>45943</v>
      </c>
      <c r="D571" s="2">
        <v>119</v>
      </c>
      <c r="E571" s="2"/>
      <c r="F571" s="2"/>
    </row>
    <row r="572" spans="1:6" x14ac:dyDescent="0.25">
      <c r="A572" t="s">
        <v>198</v>
      </c>
      <c r="B572" s="2" t="s">
        <v>199</v>
      </c>
      <c r="C572" s="3">
        <v>45873</v>
      </c>
      <c r="D572" s="2">
        <v>97</v>
      </c>
      <c r="E572" s="2"/>
      <c r="F572" s="2"/>
    </row>
    <row r="573" spans="1:6" x14ac:dyDescent="0.25">
      <c r="B573" s="2" t="s">
        <v>199</v>
      </c>
      <c r="C573" s="3">
        <v>45887</v>
      </c>
      <c r="D573" s="2">
        <v>193</v>
      </c>
      <c r="E573" s="2"/>
      <c r="F573" s="2"/>
    </row>
    <row r="574" spans="1:6" x14ac:dyDescent="0.25">
      <c r="B574" s="2" t="s">
        <v>199</v>
      </c>
      <c r="C574" s="3">
        <v>45901</v>
      </c>
      <c r="D574" s="2">
        <v>131</v>
      </c>
      <c r="E574" s="2"/>
      <c r="F574" s="2"/>
    </row>
    <row r="575" spans="1:6" x14ac:dyDescent="0.25">
      <c r="B575" s="2" t="s">
        <v>199</v>
      </c>
      <c r="C575" s="3">
        <v>45915</v>
      </c>
      <c r="D575" s="2">
        <v>63</v>
      </c>
      <c r="E575" s="2"/>
      <c r="F575" s="2"/>
    </row>
    <row r="576" spans="1:6" x14ac:dyDescent="0.25">
      <c r="B576" s="2" t="s">
        <v>199</v>
      </c>
      <c r="C576" s="3">
        <v>45929</v>
      </c>
      <c r="D576" s="2">
        <v>81</v>
      </c>
      <c r="E576" s="2"/>
      <c r="F576" s="2"/>
    </row>
    <row r="577" spans="1:6" x14ac:dyDescent="0.25">
      <c r="B577" s="2" t="s">
        <v>199</v>
      </c>
      <c r="C577" s="3">
        <v>45943</v>
      </c>
      <c r="D577" s="2">
        <v>70</v>
      </c>
      <c r="E577" s="2"/>
      <c r="F577" s="2"/>
    </row>
    <row r="578" spans="1:6" x14ac:dyDescent="0.25">
      <c r="A578" t="s">
        <v>200</v>
      </c>
      <c r="B578" s="2" t="s">
        <v>201</v>
      </c>
      <c r="C578" s="3">
        <v>45873</v>
      </c>
      <c r="D578" s="2">
        <v>96</v>
      </c>
      <c r="E578" s="2"/>
      <c r="F578" s="2"/>
    </row>
    <row r="579" spans="1:6" x14ac:dyDescent="0.25">
      <c r="B579" s="2" t="s">
        <v>201</v>
      </c>
      <c r="C579" s="3">
        <v>45887</v>
      </c>
      <c r="D579" s="2">
        <v>174</v>
      </c>
      <c r="E579" s="2"/>
      <c r="F579" s="2"/>
    </row>
    <row r="580" spans="1:6" x14ac:dyDescent="0.25">
      <c r="B580" s="2" t="s">
        <v>201</v>
      </c>
      <c r="C580" s="3">
        <v>45901</v>
      </c>
      <c r="D580" s="2">
        <v>723</v>
      </c>
      <c r="E580" s="2"/>
      <c r="F580" s="2"/>
    </row>
    <row r="581" spans="1:6" x14ac:dyDescent="0.25">
      <c r="B581" s="2" t="s">
        <v>201</v>
      </c>
      <c r="C581" s="3">
        <v>45915</v>
      </c>
      <c r="D581" s="2">
        <v>112</v>
      </c>
      <c r="E581" s="2"/>
      <c r="F581" s="2"/>
    </row>
    <row r="582" spans="1:6" x14ac:dyDescent="0.25">
      <c r="B582" s="2" t="s">
        <v>201</v>
      </c>
      <c r="C582" s="3">
        <v>45929</v>
      </c>
      <c r="D582" s="2">
        <v>125</v>
      </c>
      <c r="E582" s="2"/>
      <c r="F582" s="2"/>
    </row>
    <row r="583" spans="1:6" x14ac:dyDescent="0.25">
      <c r="B583" s="2" t="s">
        <v>201</v>
      </c>
      <c r="C583" s="3">
        <v>45943</v>
      </c>
      <c r="D583" s="2">
        <v>235</v>
      </c>
      <c r="E583" s="2"/>
      <c r="F583" s="2"/>
    </row>
    <row r="584" spans="1:6" x14ac:dyDescent="0.25">
      <c r="A584" t="s">
        <v>202</v>
      </c>
      <c r="B584" s="2" t="s">
        <v>203</v>
      </c>
      <c r="C584" s="3">
        <v>45873</v>
      </c>
      <c r="D584" s="2">
        <v>218</v>
      </c>
      <c r="E584" s="2"/>
      <c r="F584" s="2"/>
    </row>
    <row r="585" spans="1:6" x14ac:dyDescent="0.25">
      <c r="B585" s="2" t="s">
        <v>203</v>
      </c>
      <c r="C585" s="3">
        <v>45887</v>
      </c>
      <c r="D585" s="2">
        <v>238</v>
      </c>
      <c r="E585" s="2"/>
      <c r="F585" s="2"/>
    </row>
    <row r="586" spans="1:6" x14ac:dyDescent="0.25">
      <c r="B586" s="2" t="s">
        <v>203</v>
      </c>
      <c r="C586" s="3">
        <v>45901</v>
      </c>
      <c r="D586" s="2">
        <v>503</v>
      </c>
      <c r="E586" s="2"/>
      <c r="F586" s="2"/>
    </row>
    <row r="587" spans="1:6" x14ac:dyDescent="0.25">
      <c r="B587" s="2" t="s">
        <v>203</v>
      </c>
      <c r="C587" s="3">
        <v>45915</v>
      </c>
      <c r="D587" s="2">
        <v>308</v>
      </c>
      <c r="E587" s="2"/>
      <c r="F587" s="2"/>
    </row>
    <row r="588" spans="1:6" x14ac:dyDescent="0.25">
      <c r="B588" s="2" t="s">
        <v>203</v>
      </c>
      <c r="C588" s="3">
        <v>45929</v>
      </c>
      <c r="D588" s="2">
        <v>127</v>
      </c>
      <c r="E588" s="2"/>
      <c r="F588" s="2"/>
    </row>
    <row r="589" spans="1:6" x14ac:dyDescent="0.25">
      <c r="B589" s="2" t="s">
        <v>203</v>
      </c>
      <c r="C589" s="3">
        <v>45943</v>
      </c>
      <c r="D589" s="2">
        <v>192</v>
      </c>
      <c r="E589" s="2"/>
      <c r="F589" s="2"/>
    </row>
    <row r="590" spans="1:6" x14ac:dyDescent="0.25">
      <c r="A590" t="s">
        <v>204</v>
      </c>
      <c r="B590" s="2" t="s">
        <v>205</v>
      </c>
      <c r="C590" s="3">
        <v>45873</v>
      </c>
      <c r="D590" s="2">
        <v>282</v>
      </c>
      <c r="E590" s="2"/>
      <c r="F590" s="2"/>
    </row>
    <row r="591" spans="1:6" x14ac:dyDescent="0.25">
      <c r="B591" s="2" t="s">
        <v>205</v>
      </c>
      <c r="C591" s="3">
        <v>45887</v>
      </c>
      <c r="D591" s="2">
        <v>505</v>
      </c>
      <c r="E591" s="2"/>
      <c r="F591" s="2"/>
    </row>
    <row r="592" spans="1:6" x14ac:dyDescent="0.25">
      <c r="B592" s="2" t="s">
        <v>205</v>
      </c>
      <c r="C592" s="3">
        <v>45901</v>
      </c>
      <c r="D592" s="2">
        <v>500</v>
      </c>
      <c r="E592" s="2"/>
      <c r="F592" s="2"/>
    </row>
    <row r="593" spans="1:6" x14ac:dyDescent="0.25">
      <c r="B593" s="2" t="s">
        <v>205</v>
      </c>
      <c r="C593" s="3">
        <v>45915</v>
      </c>
      <c r="D593" s="2">
        <v>255</v>
      </c>
      <c r="E593" s="2"/>
      <c r="F593" s="2"/>
    </row>
    <row r="594" spans="1:6" x14ac:dyDescent="0.25">
      <c r="B594" s="2" t="s">
        <v>205</v>
      </c>
      <c r="C594" s="3">
        <v>45929</v>
      </c>
      <c r="D594" s="2">
        <v>334</v>
      </c>
      <c r="E594" s="2"/>
      <c r="F594" s="2"/>
    </row>
    <row r="595" spans="1:6" x14ac:dyDescent="0.25">
      <c r="B595" s="2" t="s">
        <v>205</v>
      </c>
      <c r="C595" s="3">
        <v>45943</v>
      </c>
      <c r="D595" s="2">
        <v>300</v>
      </c>
      <c r="E595" s="2"/>
      <c r="F595" s="2"/>
    </row>
    <row r="596" spans="1:6" x14ac:dyDescent="0.25">
      <c r="A596" t="s">
        <v>206</v>
      </c>
      <c r="B596" s="2" t="s">
        <v>207</v>
      </c>
      <c r="C596" s="3">
        <v>45873</v>
      </c>
      <c r="D596" s="2">
        <v>129</v>
      </c>
      <c r="E596" s="2"/>
      <c r="F596" s="2"/>
    </row>
    <row r="597" spans="1:6" x14ac:dyDescent="0.25">
      <c r="B597" s="2" t="s">
        <v>207</v>
      </c>
      <c r="C597" s="3">
        <v>45887</v>
      </c>
      <c r="D597" s="2">
        <v>191</v>
      </c>
      <c r="E597" s="2"/>
      <c r="F597" s="2"/>
    </row>
    <row r="598" spans="1:6" x14ac:dyDescent="0.25">
      <c r="B598" s="2" t="s">
        <v>207</v>
      </c>
      <c r="C598" s="3">
        <v>45901</v>
      </c>
      <c r="D598" s="2">
        <v>118</v>
      </c>
      <c r="E598" s="2"/>
      <c r="F598" s="2"/>
    </row>
    <row r="599" spans="1:6" x14ac:dyDescent="0.25">
      <c r="B599" s="2" t="s">
        <v>207</v>
      </c>
      <c r="C599" s="3">
        <v>45915</v>
      </c>
      <c r="D599" s="2">
        <v>141</v>
      </c>
      <c r="E599" s="2"/>
      <c r="F599" s="2"/>
    </row>
    <row r="600" spans="1:6" x14ac:dyDescent="0.25">
      <c r="B600" s="2" t="s">
        <v>207</v>
      </c>
      <c r="C600" s="3">
        <v>45929</v>
      </c>
      <c r="D600" s="2">
        <v>102</v>
      </c>
      <c r="E600" s="2"/>
      <c r="F600" s="2"/>
    </row>
    <row r="601" spans="1:6" x14ac:dyDescent="0.25">
      <c r="B601" s="2" t="s">
        <v>207</v>
      </c>
      <c r="C601" s="3">
        <v>45943</v>
      </c>
      <c r="D601" s="2">
        <v>158</v>
      </c>
      <c r="E601" s="2"/>
      <c r="F601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workbookViewId="0">
      <selection activeCell="L21" sqref="L21"/>
    </sheetView>
  </sheetViews>
  <sheetFormatPr defaultColWidth="9" defaultRowHeight="14.4" x14ac:dyDescent="0.25"/>
  <sheetData>
    <row r="1" spans="1:8" x14ac:dyDescent="0.25">
      <c r="A1" s="5" t="s">
        <v>215</v>
      </c>
      <c r="B1" s="5" t="s">
        <v>216</v>
      </c>
      <c r="C1" s="5" t="s">
        <v>217</v>
      </c>
      <c r="D1" s="5" t="s">
        <v>218</v>
      </c>
      <c r="E1" s="6" t="s">
        <v>219</v>
      </c>
      <c r="F1" s="6" t="s">
        <v>220</v>
      </c>
      <c r="G1" s="7" t="s">
        <v>221</v>
      </c>
      <c r="H1" s="7" t="s">
        <v>222</v>
      </c>
    </row>
    <row r="2" spans="1:8" x14ac:dyDescent="0.25">
      <c r="A2" s="2" t="s">
        <v>6</v>
      </c>
      <c r="B2" s="2" t="s">
        <v>7</v>
      </c>
      <c r="C2" s="2">
        <v>8</v>
      </c>
      <c r="D2" s="2">
        <v>0</v>
      </c>
      <c r="E2" s="8">
        <v>-0.139085496356946</v>
      </c>
      <c r="F2" s="8">
        <v>0.74516856514226804</v>
      </c>
      <c r="G2" s="2">
        <v>-3.4443944168832945E-2</v>
      </c>
      <c r="H2" s="2">
        <v>-3.4439006706543443E-2</v>
      </c>
    </row>
    <row r="3" spans="1:8" x14ac:dyDescent="0.25">
      <c r="A3" s="2" t="s">
        <v>6</v>
      </c>
      <c r="B3" s="2" t="s">
        <v>7</v>
      </c>
      <c r="C3" s="2">
        <v>9</v>
      </c>
      <c r="D3" s="2">
        <v>0</v>
      </c>
      <c r="E3" s="8">
        <v>-8.9830810934626304E-2</v>
      </c>
      <c r="F3" s="8">
        <v>0.96998248299441403</v>
      </c>
      <c r="G3" s="2">
        <v>-5.7822336209381431E-2</v>
      </c>
      <c r="H3" s="2">
        <v>-4.50535010324759E-2</v>
      </c>
    </row>
    <row r="4" spans="1:8" x14ac:dyDescent="0.25">
      <c r="A4" s="2" t="s">
        <v>6</v>
      </c>
      <c r="B4" s="2" t="s">
        <v>7</v>
      </c>
      <c r="C4" s="2">
        <v>10</v>
      </c>
      <c r="D4" s="2">
        <v>0</v>
      </c>
      <c r="E4" s="8">
        <v>1.1883829020825701E-2</v>
      </c>
      <c r="F4" s="8">
        <v>0.65971361879495005</v>
      </c>
      <c r="G4" s="2">
        <v>3.8109378867084001E-2</v>
      </c>
      <c r="H4" s="2">
        <v>2.8209160605464856E-2</v>
      </c>
    </row>
    <row r="5" spans="1:8" x14ac:dyDescent="0.25">
      <c r="A5" s="2" t="s">
        <v>8</v>
      </c>
      <c r="B5" s="2" t="s">
        <v>9</v>
      </c>
      <c r="C5" s="2">
        <v>8</v>
      </c>
      <c r="D5" s="2">
        <v>0</v>
      </c>
      <c r="E5" s="8">
        <v>-8.3063066898910506E-2</v>
      </c>
      <c r="F5" s="8">
        <v>0.802523994597519</v>
      </c>
      <c r="G5" s="2">
        <v>2.8865979381680687E-2</v>
      </c>
      <c r="H5" s="2">
        <v>-7.6453912894080484E-3</v>
      </c>
    </row>
    <row r="6" spans="1:8" x14ac:dyDescent="0.25">
      <c r="A6" s="2" t="s">
        <v>8</v>
      </c>
      <c r="B6" s="2" t="s">
        <v>9</v>
      </c>
      <c r="C6" s="2">
        <v>9</v>
      </c>
      <c r="D6" s="2">
        <v>1</v>
      </c>
      <c r="E6" s="8">
        <v>-0.111667793362994</v>
      </c>
      <c r="F6" s="8">
        <v>1.36832852185538</v>
      </c>
      <c r="G6" s="2">
        <v>-8.4844323469647029E-2</v>
      </c>
      <c r="H6" s="2">
        <v>-7.8168282548476492E-2</v>
      </c>
    </row>
    <row r="7" spans="1:8" x14ac:dyDescent="0.25">
      <c r="A7" s="2" t="s">
        <v>8</v>
      </c>
      <c r="B7" s="2" t="s">
        <v>9</v>
      </c>
      <c r="C7" s="2">
        <v>10</v>
      </c>
      <c r="D7" s="2">
        <v>1</v>
      </c>
      <c r="E7" s="8">
        <v>4.9361414849371003E-2</v>
      </c>
      <c r="F7" s="8">
        <v>1.21106631430614</v>
      </c>
      <c r="G7" s="2">
        <v>5.0263110144224098E-2</v>
      </c>
      <c r="H7" s="2">
        <v>6.7705887876795989E-2</v>
      </c>
    </row>
    <row r="8" spans="1:8" x14ac:dyDescent="0.25">
      <c r="A8" s="2" t="s">
        <v>10</v>
      </c>
      <c r="B8" s="2" t="s">
        <v>11</v>
      </c>
      <c r="C8" s="2">
        <v>8</v>
      </c>
      <c r="D8" s="2">
        <v>0</v>
      </c>
      <c r="E8" s="8">
        <v>-6.2309881355478103E-2</v>
      </c>
      <c r="F8" s="8">
        <v>22.1428294531317</v>
      </c>
      <c r="G8" s="2">
        <v>4.4460127028934461E-2</v>
      </c>
      <c r="H8" s="2">
        <v>-2.1011096171004214E-2</v>
      </c>
    </row>
    <row r="9" spans="1:8" x14ac:dyDescent="0.25">
      <c r="A9" s="2" t="s">
        <v>10</v>
      </c>
      <c r="B9" s="2" t="s">
        <v>11</v>
      </c>
      <c r="C9" s="2">
        <v>9</v>
      </c>
      <c r="D9" s="2">
        <v>0</v>
      </c>
      <c r="E9" s="8">
        <v>-5.6339555806800799E-2</v>
      </c>
      <c r="F9" s="8">
        <v>28.3560905602566</v>
      </c>
      <c r="G9" s="2">
        <v>-2.7381574093257127E-2</v>
      </c>
      <c r="H9" s="2">
        <v>-8.5103651883704553E-3</v>
      </c>
    </row>
    <row r="10" spans="1:8" x14ac:dyDescent="0.25">
      <c r="A10" s="2" t="s">
        <v>10</v>
      </c>
      <c r="B10" s="2" t="s">
        <v>11</v>
      </c>
      <c r="C10" s="2">
        <v>10</v>
      </c>
      <c r="D10" s="2">
        <v>0</v>
      </c>
      <c r="E10" s="8">
        <v>-9.6759264272645498E-3</v>
      </c>
      <c r="F10" s="8">
        <v>17.3469260711414</v>
      </c>
      <c r="G10" s="2">
        <v>4.1620786846722603E-3</v>
      </c>
      <c r="H10" s="2">
        <v>1.0447683902540097E-2</v>
      </c>
    </row>
    <row r="11" spans="1:8" x14ac:dyDescent="0.25">
      <c r="A11" s="2" t="s">
        <v>12</v>
      </c>
      <c r="B11" s="2" t="s">
        <v>13</v>
      </c>
      <c r="C11" s="2">
        <v>8</v>
      </c>
      <c r="D11" s="2">
        <v>0</v>
      </c>
      <c r="E11" s="8">
        <v>-0.120534860675015</v>
      </c>
      <c r="F11" s="8">
        <v>0.12746054478225899</v>
      </c>
      <c r="G11" s="2">
        <v>-2.4934383202134421E-2</v>
      </c>
      <c r="H11" s="2">
        <v>-2.4885660478880765E-2</v>
      </c>
    </row>
    <row r="12" spans="1:8" x14ac:dyDescent="0.25">
      <c r="A12" s="2" t="s">
        <v>12</v>
      </c>
      <c r="B12" s="2" t="s">
        <v>13</v>
      </c>
      <c r="C12" s="2">
        <v>9</v>
      </c>
      <c r="D12" s="2">
        <v>0</v>
      </c>
      <c r="E12" s="8">
        <v>-4.9505109988169198E-2</v>
      </c>
      <c r="F12" s="8">
        <v>9.8328013650222201E-2</v>
      </c>
      <c r="G12" s="2">
        <v>-1.7496635262236042E-2</v>
      </c>
      <c r="H12" s="2">
        <v>-2.8555662850048201E-2</v>
      </c>
    </row>
    <row r="13" spans="1:8" x14ac:dyDescent="0.25">
      <c r="A13" s="2" t="s">
        <v>12</v>
      </c>
      <c r="B13" s="2" t="s">
        <v>13</v>
      </c>
      <c r="C13" s="2">
        <v>10</v>
      </c>
      <c r="D13" s="2">
        <v>0</v>
      </c>
      <c r="E13" s="8">
        <v>6.5759005719933802E-2</v>
      </c>
      <c r="F13" s="8">
        <v>0.22215190881069499</v>
      </c>
      <c r="G13" s="2">
        <v>7.3972602739694374E-2</v>
      </c>
      <c r="H13" s="2">
        <v>5.8080090883271707E-2</v>
      </c>
    </row>
    <row r="14" spans="1:8" x14ac:dyDescent="0.25">
      <c r="A14" s="2" t="s">
        <v>14</v>
      </c>
      <c r="B14" s="2" t="s">
        <v>15</v>
      </c>
      <c r="C14" s="2">
        <v>8</v>
      </c>
      <c r="D14" s="2">
        <v>2</v>
      </c>
      <c r="E14" s="8">
        <v>5.3716306717260201E-2</v>
      </c>
      <c r="F14" s="8">
        <v>11.549121859011001</v>
      </c>
      <c r="G14" s="2">
        <v>0.16387383474460437</v>
      </c>
      <c r="H14" s="2">
        <v>0.18217807174998152</v>
      </c>
    </row>
    <row r="15" spans="1:8" x14ac:dyDescent="0.25">
      <c r="A15" s="2" t="s">
        <v>14</v>
      </c>
      <c r="B15" s="2" t="s">
        <v>15</v>
      </c>
      <c r="C15" s="2">
        <v>9</v>
      </c>
      <c r="D15" s="2">
        <v>1</v>
      </c>
      <c r="E15" s="8">
        <v>0.28094469007929701</v>
      </c>
      <c r="F15" s="8">
        <v>33.427619396662699</v>
      </c>
      <c r="G15" s="2">
        <v>0.31362638425422912</v>
      </c>
      <c r="H15" s="2">
        <v>0.243042555846749</v>
      </c>
    </row>
    <row r="16" spans="1:8" x14ac:dyDescent="0.25">
      <c r="A16" s="2" t="s">
        <v>14</v>
      </c>
      <c r="B16" s="2" t="s">
        <v>15</v>
      </c>
      <c r="C16" s="2">
        <v>10</v>
      </c>
      <c r="D16" s="2">
        <v>8</v>
      </c>
      <c r="E16" s="8">
        <v>-3.2904866698794499E-2</v>
      </c>
      <c r="F16" s="8">
        <v>14.411899265578301</v>
      </c>
      <c r="G16" s="2">
        <v>-4.0120360459670004E-2</v>
      </c>
      <c r="H16" s="2">
        <v>-6.2747854023392405E-2</v>
      </c>
    </row>
    <row r="17" spans="1:8" x14ac:dyDescent="0.25">
      <c r="A17" s="2" t="s">
        <v>16</v>
      </c>
      <c r="B17" s="2" t="s">
        <v>17</v>
      </c>
      <c r="C17" s="2">
        <v>8</v>
      </c>
      <c r="D17" s="2">
        <v>0</v>
      </c>
      <c r="E17" s="8">
        <v>-0.113498104079955</v>
      </c>
      <c r="F17" s="8">
        <v>0.225354746798822</v>
      </c>
      <c r="G17" s="2">
        <v>-5.326231690994763E-3</v>
      </c>
      <c r="H17" s="2">
        <v>4.5932395277373597E-2</v>
      </c>
    </row>
    <row r="18" spans="1:8" x14ac:dyDescent="0.25">
      <c r="A18" s="2" t="s">
        <v>16</v>
      </c>
      <c r="B18" s="2" t="s">
        <v>17</v>
      </c>
      <c r="C18" s="2">
        <v>9</v>
      </c>
      <c r="D18" s="2">
        <v>2</v>
      </c>
      <c r="E18" s="8">
        <v>-0.14624319137007499</v>
      </c>
      <c r="F18" s="8">
        <v>0.73870250120152303</v>
      </c>
      <c r="G18" s="2">
        <v>-0.11423471664536015</v>
      </c>
      <c r="H18" s="2">
        <v>-9.3242616359981462E-2</v>
      </c>
    </row>
    <row r="19" spans="1:8" x14ac:dyDescent="0.25">
      <c r="A19" s="2" t="s">
        <v>16</v>
      </c>
      <c r="B19" s="2" t="s">
        <v>17</v>
      </c>
      <c r="C19" s="2">
        <v>10</v>
      </c>
      <c r="D19" s="2">
        <v>0</v>
      </c>
      <c r="E19" s="8">
        <v>1.9149157888595902E-2</v>
      </c>
      <c r="F19" s="8">
        <v>0.31139274425790697</v>
      </c>
      <c r="G19" s="2">
        <v>3.7784151587199957E-2</v>
      </c>
      <c r="H19" s="2">
        <v>1.3813096862210088E-2</v>
      </c>
    </row>
    <row r="20" spans="1:8" x14ac:dyDescent="0.25">
      <c r="A20" s="2" t="s">
        <v>18</v>
      </c>
      <c r="B20" s="2" t="s">
        <v>19</v>
      </c>
      <c r="C20" s="2">
        <v>8</v>
      </c>
      <c r="D20" s="2">
        <v>0</v>
      </c>
      <c r="E20" s="8">
        <v>1.0946620806466301E-2</v>
      </c>
      <c r="F20" s="8">
        <v>0.27999829931456299</v>
      </c>
      <c r="G20" s="2">
        <v>0.10900473933633038</v>
      </c>
      <c r="H20" s="2">
        <v>0.10897811073393431</v>
      </c>
    </row>
    <row r="21" spans="1:8" x14ac:dyDescent="0.25">
      <c r="A21" s="2" t="s">
        <v>18</v>
      </c>
      <c r="B21" s="2" t="s">
        <v>19</v>
      </c>
      <c r="C21" s="2">
        <v>9</v>
      </c>
      <c r="D21" s="2">
        <v>0</v>
      </c>
      <c r="E21" s="8">
        <v>-8.1866024583269498E-2</v>
      </c>
      <c r="F21" s="8">
        <v>0.31701257025072299</v>
      </c>
      <c r="G21" s="2">
        <v>-4.9857549857335315E-2</v>
      </c>
      <c r="H21" s="2">
        <v>-8.6869326578002989E-2</v>
      </c>
    </row>
    <row r="22" spans="1:8" x14ac:dyDescent="0.25">
      <c r="A22" s="2" t="s">
        <v>18</v>
      </c>
      <c r="B22" s="2" t="s">
        <v>19</v>
      </c>
      <c r="C22" s="2">
        <v>10</v>
      </c>
      <c r="D22" s="2">
        <v>0</v>
      </c>
      <c r="E22" s="8">
        <v>0.19340887941322399</v>
      </c>
      <c r="F22" s="8">
        <v>0.51709667431558304</v>
      </c>
      <c r="G22" s="2">
        <v>0.19790104947510034</v>
      </c>
      <c r="H22" s="2">
        <v>0.2070280892382384</v>
      </c>
    </row>
    <row r="23" spans="1:8" x14ac:dyDescent="0.25">
      <c r="A23" s="2" t="s">
        <v>20</v>
      </c>
      <c r="B23" s="2" t="s">
        <v>21</v>
      </c>
      <c r="C23" s="2">
        <v>8</v>
      </c>
      <c r="D23" s="2">
        <v>0</v>
      </c>
      <c r="E23" s="8">
        <v>0.10188283863563501</v>
      </c>
      <c r="F23" s="8">
        <v>1.0340691696492299</v>
      </c>
      <c r="G23" s="2">
        <v>0.19833852544187486</v>
      </c>
      <c r="H23" s="2">
        <v>0.16790136663903082</v>
      </c>
    </row>
    <row r="24" spans="1:8" x14ac:dyDescent="0.25">
      <c r="A24" s="2" t="s">
        <v>20</v>
      </c>
      <c r="B24" s="2" t="s">
        <v>21</v>
      </c>
      <c r="C24" s="2">
        <v>9</v>
      </c>
      <c r="D24" s="2">
        <v>1</v>
      </c>
      <c r="E24" s="8">
        <v>0.24355478350651599</v>
      </c>
      <c r="F24" s="8">
        <v>1.3933342395241399</v>
      </c>
      <c r="G24" s="2">
        <v>0.27556325823330369</v>
      </c>
      <c r="H24" s="2">
        <v>0.18718083766516294</v>
      </c>
    </row>
    <row r="25" spans="1:8" x14ac:dyDescent="0.25">
      <c r="A25" s="2" t="s">
        <v>20</v>
      </c>
      <c r="B25" s="2" t="s">
        <v>21</v>
      </c>
      <c r="C25" s="2">
        <v>10</v>
      </c>
      <c r="D25" s="2">
        <v>0</v>
      </c>
      <c r="E25" s="8">
        <v>3.6011015845008203E-2</v>
      </c>
      <c r="F25" s="8">
        <v>0.77612063192142899</v>
      </c>
      <c r="G25" s="2">
        <v>2.0040760868788275E-2</v>
      </c>
      <c r="H25" s="2">
        <v>-8.203614759948305E-2</v>
      </c>
    </row>
    <row r="26" spans="1:8" x14ac:dyDescent="0.25">
      <c r="A26" s="2" t="s">
        <v>22</v>
      </c>
      <c r="B26" s="2" t="s">
        <v>23</v>
      </c>
      <c r="C26" s="2">
        <v>8</v>
      </c>
      <c r="D26" s="2">
        <v>3</v>
      </c>
      <c r="E26" s="8">
        <v>-5.3189499519994597E-2</v>
      </c>
      <c r="F26" s="8">
        <v>0.86082214301490101</v>
      </c>
      <c r="G26" s="2">
        <v>4.1397198148121261E-2</v>
      </c>
      <c r="H26" s="2">
        <v>4.1103624797681322E-2</v>
      </c>
    </row>
    <row r="27" spans="1:8" x14ac:dyDescent="0.25">
      <c r="A27" s="2" t="s">
        <v>22</v>
      </c>
      <c r="B27" s="2" t="s">
        <v>23</v>
      </c>
      <c r="C27" s="2">
        <v>9</v>
      </c>
      <c r="D27" s="2">
        <v>1</v>
      </c>
      <c r="E27" s="8">
        <v>-4.6253488970733898E-2</v>
      </c>
      <c r="F27" s="8">
        <v>1.42758635950782</v>
      </c>
      <c r="G27" s="2">
        <v>-1.3315380337500153E-2</v>
      </c>
      <c r="H27" s="2">
        <v>-5.0218735312194958E-2</v>
      </c>
    </row>
    <row r="28" spans="1:8" x14ac:dyDescent="0.25">
      <c r="A28" s="2" t="s">
        <v>22</v>
      </c>
      <c r="B28" s="2" t="s">
        <v>23</v>
      </c>
      <c r="C28" s="2">
        <v>10</v>
      </c>
      <c r="D28" s="2">
        <v>1</v>
      </c>
      <c r="E28" s="8">
        <v>5.14781932286534E-2</v>
      </c>
      <c r="F28" s="8">
        <v>1.22954319590173</v>
      </c>
      <c r="G28" s="2">
        <v>2.6912160508280963E-2</v>
      </c>
      <c r="H28" s="2">
        <v>5.4434716406549007E-3</v>
      </c>
    </row>
    <row r="29" spans="1:8" x14ac:dyDescent="0.25">
      <c r="A29" s="2" t="s">
        <v>24</v>
      </c>
      <c r="B29" s="2" t="s">
        <v>25</v>
      </c>
      <c r="C29" s="2">
        <v>8</v>
      </c>
      <c r="D29" s="2">
        <v>0</v>
      </c>
      <c r="E29" s="8">
        <v>-0.15301229609362699</v>
      </c>
      <c r="F29" s="8">
        <v>0.131628987978296</v>
      </c>
      <c r="G29" s="2">
        <v>-4.4678055190808405E-2</v>
      </c>
      <c r="H29" s="2">
        <v>-4.4676341105494836E-2</v>
      </c>
    </row>
    <row r="30" spans="1:8" x14ac:dyDescent="0.25">
      <c r="A30" s="2" t="s">
        <v>24</v>
      </c>
      <c r="B30" s="2" t="s">
        <v>25</v>
      </c>
      <c r="C30" s="2">
        <v>9</v>
      </c>
      <c r="D30" s="2">
        <v>0</v>
      </c>
      <c r="E30" s="8">
        <v>-0.107661844739475</v>
      </c>
      <c r="F30" s="8">
        <v>0.19239434611127201</v>
      </c>
      <c r="G30" s="2">
        <v>-7.5653370012767993E-2</v>
      </c>
      <c r="H30" s="2">
        <v>-8.0901177675371222E-2</v>
      </c>
    </row>
    <row r="31" spans="1:8" x14ac:dyDescent="0.25">
      <c r="A31" s="2" t="s">
        <v>24</v>
      </c>
      <c r="B31" s="2" t="s">
        <v>25</v>
      </c>
      <c r="C31" s="2">
        <v>10</v>
      </c>
      <c r="D31" s="2">
        <v>2</v>
      </c>
      <c r="E31" s="8">
        <v>6.8457962014780493E-2</v>
      </c>
      <c r="F31" s="8">
        <v>0.18805310576599199</v>
      </c>
      <c r="G31" s="2">
        <v>7.5892857141571457E-2</v>
      </c>
      <c r="H31" s="2">
        <v>5.9981429897864431E-2</v>
      </c>
    </row>
    <row r="32" spans="1:8" x14ac:dyDescent="0.25">
      <c r="A32" s="2" t="s">
        <v>26</v>
      </c>
      <c r="B32" s="2" t="s">
        <v>27</v>
      </c>
      <c r="C32" s="2">
        <v>8</v>
      </c>
      <c r="D32" s="2">
        <v>2</v>
      </c>
      <c r="E32" s="8">
        <v>-1.9530655622919502E-2</v>
      </c>
      <c r="F32" s="8">
        <v>2.98695879736277</v>
      </c>
      <c r="G32" s="2">
        <v>7.8071833648496916E-2</v>
      </c>
      <c r="H32" s="2">
        <v>7.8068234016787058E-2</v>
      </c>
    </row>
    <row r="33" spans="1:8" x14ac:dyDescent="0.25">
      <c r="A33" s="2" t="s">
        <v>26</v>
      </c>
      <c r="B33" s="2" t="s">
        <v>27</v>
      </c>
      <c r="C33" s="2">
        <v>9</v>
      </c>
      <c r="D33" s="2">
        <v>2</v>
      </c>
      <c r="E33" s="8">
        <v>-7.4529954648567404E-2</v>
      </c>
      <c r="F33" s="8">
        <v>1.8280406680330401</v>
      </c>
      <c r="G33" s="2">
        <v>-4.2521479922603182E-2</v>
      </c>
      <c r="H33" s="2">
        <v>-9.9800515174403956E-2</v>
      </c>
    </row>
    <row r="34" spans="1:8" x14ac:dyDescent="0.25">
      <c r="A34" s="2" t="s">
        <v>26</v>
      </c>
      <c r="B34" s="2" t="s">
        <v>27</v>
      </c>
      <c r="C34" s="2">
        <v>10</v>
      </c>
      <c r="D34" s="2">
        <v>4</v>
      </c>
      <c r="E34" s="8">
        <v>-7.7093585680572604E-2</v>
      </c>
      <c r="F34" s="8">
        <v>2.1891994239098098</v>
      </c>
      <c r="G34" s="2">
        <v>-4.9903854959072784E-2</v>
      </c>
      <c r="H34" s="2">
        <v>-3.2895869191049878E-2</v>
      </c>
    </row>
    <row r="35" spans="1:8" x14ac:dyDescent="0.25">
      <c r="A35" s="2" t="s">
        <v>28</v>
      </c>
      <c r="B35" s="2" t="s">
        <v>29</v>
      </c>
      <c r="C35" s="2">
        <v>8</v>
      </c>
      <c r="D35" s="2">
        <v>0</v>
      </c>
      <c r="E35" s="8">
        <v>-9.4359208421776697E-2</v>
      </c>
      <c r="F35" s="8">
        <v>0.223945146344877</v>
      </c>
      <c r="G35" s="2">
        <v>3.5727045364578837E-3</v>
      </c>
      <c r="H35" s="2">
        <v>3.5827795434845325E-3</v>
      </c>
    </row>
    <row r="36" spans="1:8" x14ac:dyDescent="0.25">
      <c r="A36" s="2" t="s">
        <v>28</v>
      </c>
      <c r="B36" s="2" t="s">
        <v>29</v>
      </c>
      <c r="C36" s="2">
        <v>9</v>
      </c>
      <c r="D36" s="2">
        <v>0</v>
      </c>
      <c r="E36" s="8">
        <v>-6.19123551101982E-2</v>
      </c>
      <c r="F36" s="8">
        <v>0.37587416149741498</v>
      </c>
      <c r="G36" s="2">
        <v>-2.9903880383857384E-2</v>
      </c>
      <c r="H36" s="2">
        <v>-6.299303276328666E-2</v>
      </c>
    </row>
    <row r="37" spans="1:8" x14ac:dyDescent="0.25">
      <c r="A37" s="2" t="s">
        <v>28</v>
      </c>
      <c r="B37" s="2" t="s">
        <v>29</v>
      </c>
      <c r="C37" s="2">
        <v>10</v>
      </c>
      <c r="D37" s="2">
        <v>0</v>
      </c>
      <c r="E37" s="8">
        <v>3.11982416128583E-2</v>
      </c>
      <c r="F37" s="8">
        <v>0.231788125869548</v>
      </c>
      <c r="G37" s="2">
        <v>3.4495412843976725E-2</v>
      </c>
      <c r="H37" s="2">
        <v>2.620905794874951E-2</v>
      </c>
    </row>
    <row r="38" spans="1:8" x14ac:dyDescent="0.25">
      <c r="A38" s="2" t="s">
        <v>30</v>
      </c>
      <c r="B38" s="2" t="s">
        <v>31</v>
      </c>
      <c r="C38" s="2">
        <v>8</v>
      </c>
      <c r="D38" s="2">
        <v>0</v>
      </c>
      <c r="E38" s="8">
        <v>-3.4168643623697002E-2</v>
      </c>
      <c r="F38" s="8">
        <v>2.7103163582697798</v>
      </c>
      <c r="G38" s="2">
        <v>7.0495867769340165E-2</v>
      </c>
      <c r="H38" s="2">
        <v>3.5199861167351229E-2</v>
      </c>
    </row>
    <row r="39" spans="1:8" x14ac:dyDescent="0.25">
      <c r="A39" s="2" t="s">
        <v>30</v>
      </c>
      <c r="B39" s="2" t="s">
        <v>31</v>
      </c>
      <c r="C39" s="2">
        <v>9</v>
      </c>
      <c r="D39" s="2">
        <v>1</v>
      </c>
      <c r="E39" s="8">
        <v>-9.4156239722245599E-2</v>
      </c>
      <c r="F39" s="8">
        <v>2.8799511855531299</v>
      </c>
      <c r="G39" s="2">
        <v>-6.2147764997974336E-2</v>
      </c>
      <c r="H39" s="2">
        <v>-7.225280098348745E-2</v>
      </c>
    </row>
    <row r="40" spans="1:8" x14ac:dyDescent="0.25">
      <c r="A40" s="2" t="s">
        <v>30</v>
      </c>
      <c r="B40" s="2" t="s">
        <v>31</v>
      </c>
      <c r="C40" s="2">
        <v>10</v>
      </c>
      <c r="D40" s="2">
        <v>1</v>
      </c>
      <c r="E40" s="8">
        <v>-2.0491620122980898E-2</v>
      </c>
      <c r="F40" s="8">
        <v>1.1579396636724499</v>
      </c>
      <c r="G40" s="2">
        <v>-9.7958511690308999E-3</v>
      </c>
      <c r="H40" s="2">
        <v>9.938262309892663E-4</v>
      </c>
    </row>
    <row r="41" spans="1:8" x14ac:dyDescent="0.25">
      <c r="A41" s="2" t="s">
        <v>32</v>
      </c>
      <c r="B41" s="2" t="s">
        <v>33</v>
      </c>
      <c r="C41" s="2">
        <v>8</v>
      </c>
      <c r="D41" s="2">
        <v>0</v>
      </c>
      <c r="E41" s="8">
        <v>-1.8569968737690401E-2</v>
      </c>
      <c r="F41" s="8">
        <v>1.2013890769795299</v>
      </c>
      <c r="G41" s="2">
        <v>9.4956521738675734E-2</v>
      </c>
      <c r="H41" s="2">
        <v>8.2855161107257685E-2</v>
      </c>
    </row>
    <row r="42" spans="1:8" x14ac:dyDescent="0.25">
      <c r="A42" s="2" t="s">
        <v>32</v>
      </c>
      <c r="B42" s="2" t="s">
        <v>33</v>
      </c>
      <c r="C42" s="2">
        <v>9</v>
      </c>
      <c r="D42" s="2">
        <v>0</v>
      </c>
      <c r="E42" s="8">
        <v>-8.2199071930294104E-2</v>
      </c>
      <c r="F42" s="8">
        <v>0.78046938923475395</v>
      </c>
      <c r="G42" s="2">
        <v>-5.0190597204951462E-2</v>
      </c>
      <c r="H42" s="2">
        <v>-8.7637570605019546E-2</v>
      </c>
    </row>
    <row r="43" spans="1:8" x14ac:dyDescent="0.25">
      <c r="A43" s="2" t="s">
        <v>32</v>
      </c>
      <c r="B43" s="2" t="s">
        <v>33</v>
      </c>
      <c r="C43" s="2">
        <v>10</v>
      </c>
      <c r="D43" s="2">
        <v>0</v>
      </c>
      <c r="E43" s="8">
        <v>-1.7385723285426501E-2</v>
      </c>
      <c r="F43" s="8">
        <v>0.35665933655652599</v>
      </c>
      <c r="G43" s="2">
        <v>-1.0033444818989786E-3</v>
      </c>
      <c r="H43" s="2">
        <v>4.0017870819504711E-2</v>
      </c>
    </row>
    <row r="44" spans="1:8" x14ac:dyDescent="0.25">
      <c r="A44" s="2" t="s">
        <v>34</v>
      </c>
      <c r="B44" s="2" t="s">
        <v>35</v>
      </c>
      <c r="C44" s="2">
        <v>8</v>
      </c>
      <c r="D44" s="2">
        <v>1</v>
      </c>
      <c r="E44" s="8">
        <v>-0.12142085448553699</v>
      </c>
      <c r="F44" s="8">
        <v>0.57352974084729302</v>
      </c>
      <c r="G44" s="2">
        <v>-2.396166134251667E-3</v>
      </c>
      <c r="H44" s="2">
        <v>-2.3929667585704303E-3</v>
      </c>
    </row>
    <row r="45" spans="1:8" x14ac:dyDescent="0.25">
      <c r="A45" s="2" t="s">
        <v>34</v>
      </c>
      <c r="B45" s="2" t="s">
        <v>35</v>
      </c>
      <c r="C45" s="2">
        <v>9</v>
      </c>
      <c r="D45" s="2">
        <v>0</v>
      </c>
      <c r="E45" s="8">
        <v>-4.5198171329788204E-3</v>
      </c>
      <c r="F45" s="8">
        <v>0.35309393180190302</v>
      </c>
      <c r="G45" s="2">
        <v>2.7488657593205436E-2</v>
      </c>
      <c r="H45" s="2">
        <v>1.5643739896749594E-4</v>
      </c>
    </row>
    <row r="46" spans="1:8" x14ac:dyDescent="0.25">
      <c r="A46" s="2" t="s">
        <v>34</v>
      </c>
      <c r="B46" s="2" t="s">
        <v>35</v>
      </c>
      <c r="C46" s="2">
        <v>10</v>
      </c>
      <c r="D46" s="2">
        <v>0</v>
      </c>
      <c r="E46" s="8">
        <v>0.10416142521824399</v>
      </c>
      <c r="F46" s="8">
        <v>1.1079020980319201</v>
      </c>
      <c r="G46" s="2">
        <v>0.10389610389603589</v>
      </c>
      <c r="H46" s="2">
        <v>9.6454640250260834E-2</v>
      </c>
    </row>
    <row r="47" spans="1:8" x14ac:dyDescent="0.25">
      <c r="A47" s="2" t="s">
        <v>37</v>
      </c>
      <c r="B47" s="2" t="s">
        <v>38</v>
      </c>
      <c r="C47" s="2">
        <v>8</v>
      </c>
      <c r="D47" s="2">
        <v>0</v>
      </c>
      <c r="E47" s="8">
        <v>-0.16953812898998899</v>
      </c>
      <c r="F47" s="8">
        <v>1.1647151705766601</v>
      </c>
      <c r="G47" s="2">
        <v>-7.1693179338578786E-2</v>
      </c>
      <c r="H47" s="2">
        <v>2.8264011562550161E-2</v>
      </c>
    </row>
    <row r="48" spans="1:8" x14ac:dyDescent="0.25">
      <c r="A48" s="2" t="s">
        <v>37</v>
      </c>
      <c r="B48" s="2" t="s">
        <v>38</v>
      </c>
      <c r="C48" s="2">
        <v>9</v>
      </c>
      <c r="D48" s="2">
        <v>1</v>
      </c>
      <c r="E48" s="8">
        <v>-9.9614108528536693E-2</v>
      </c>
      <c r="F48" s="8">
        <v>0.71533072906737105</v>
      </c>
      <c r="G48" s="2">
        <v>-6.7605633802368281E-2</v>
      </c>
      <c r="H48" s="2">
        <v>-6.4553074079858455E-2</v>
      </c>
    </row>
    <row r="49" spans="1:8" x14ac:dyDescent="0.25">
      <c r="A49" s="2" t="s">
        <v>37</v>
      </c>
      <c r="B49" s="2" t="s">
        <v>38</v>
      </c>
      <c r="C49" s="2">
        <v>10</v>
      </c>
      <c r="D49" s="2">
        <v>0</v>
      </c>
      <c r="E49" s="8">
        <v>7.6086807146299301E-4</v>
      </c>
      <c r="F49" s="8">
        <v>0.277487413599036</v>
      </c>
      <c r="G49" s="2">
        <v>1.9637462235697005E-2</v>
      </c>
      <c r="H49" s="2">
        <v>1.6305860092381382E-2</v>
      </c>
    </row>
    <row r="50" spans="1:8" x14ac:dyDescent="0.25">
      <c r="A50" s="2" t="s">
        <v>39</v>
      </c>
      <c r="B50" s="2" t="s">
        <v>40</v>
      </c>
      <c r="C50" s="2">
        <v>8</v>
      </c>
      <c r="D50" s="2">
        <v>1</v>
      </c>
      <c r="E50" s="8">
        <v>0.45199173576085599</v>
      </c>
      <c r="F50" s="8">
        <v>6.1270016360059101</v>
      </c>
      <c r="G50" s="2">
        <v>0.63121212121245696</v>
      </c>
      <c r="H50" s="2">
        <v>0.55367455803906007</v>
      </c>
    </row>
    <row r="51" spans="1:8" x14ac:dyDescent="0.25">
      <c r="A51" s="2" t="s">
        <v>39</v>
      </c>
      <c r="B51" s="2" t="s">
        <v>40</v>
      </c>
      <c r="C51" s="2">
        <v>9</v>
      </c>
      <c r="D51" s="2">
        <v>0</v>
      </c>
      <c r="E51" s="8">
        <v>0.19425940563839</v>
      </c>
      <c r="F51" s="8">
        <v>6.6334058981434199</v>
      </c>
      <c r="G51" s="2">
        <v>0.22618850394155032</v>
      </c>
      <c r="H51" s="2">
        <v>0.20508200442653651</v>
      </c>
    </row>
    <row r="52" spans="1:8" x14ac:dyDescent="0.25">
      <c r="A52" s="2" t="s">
        <v>39</v>
      </c>
      <c r="B52" s="2" t="s">
        <v>40</v>
      </c>
      <c r="C52" s="2">
        <v>10</v>
      </c>
      <c r="D52" s="2">
        <v>2</v>
      </c>
      <c r="E52" s="8">
        <v>9.0749407755324807E-2</v>
      </c>
      <c r="F52" s="8">
        <v>6.0718796149811398</v>
      </c>
      <c r="G52" s="2">
        <v>1.8785120811550978E-2</v>
      </c>
      <c r="H52" s="2">
        <v>3.6685150519784826E-2</v>
      </c>
    </row>
    <row r="53" spans="1:8" x14ac:dyDescent="0.25">
      <c r="A53" s="2" t="s">
        <v>41</v>
      </c>
      <c r="B53" s="2" t="s">
        <v>42</v>
      </c>
      <c r="C53" s="2">
        <v>8</v>
      </c>
      <c r="D53" s="2">
        <v>0</v>
      </c>
      <c r="E53" s="8">
        <v>-3.9326603237249499E-2</v>
      </c>
      <c r="F53" s="8">
        <v>0.28619257585791802</v>
      </c>
      <c r="G53" s="2">
        <v>6.2947251916645866E-2</v>
      </c>
      <c r="H53" s="2">
        <v>5.127334465195247E-2</v>
      </c>
    </row>
    <row r="54" spans="1:8" x14ac:dyDescent="0.25">
      <c r="A54" s="2" t="s">
        <v>41</v>
      </c>
      <c r="B54" s="2" t="s">
        <v>42</v>
      </c>
      <c r="C54" s="2">
        <v>9</v>
      </c>
      <c r="D54" s="2">
        <v>0</v>
      </c>
      <c r="E54" s="8">
        <v>-0.158934373478471</v>
      </c>
      <c r="F54" s="8">
        <v>0.70585568715017799</v>
      </c>
      <c r="G54" s="2">
        <v>-0.12692589875438562</v>
      </c>
      <c r="H54" s="2">
        <v>-0.10125968992248059</v>
      </c>
    </row>
    <row r="55" spans="1:8" x14ac:dyDescent="0.25">
      <c r="A55" s="2" t="s">
        <v>41</v>
      </c>
      <c r="B55" s="2" t="s">
        <v>42</v>
      </c>
      <c r="C55" s="2">
        <v>10</v>
      </c>
      <c r="D55" s="2">
        <v>2</v>
      </c>
      <c r="E55" s="8">
        <v>-3.4448200450205503E-2</v>
      </c>
      <c r="F55" s="8">
        <v>0.629628158238701</v>
      </c>
      <c r="G55" s="2">
        <v>0.16929820983599983</v>
      </c>
      <c r="H55" s="2">
        <v>9.128481581311762E-2</v>
      </c>
    </row>
    <row r="56" spans="1:8" x14ac:dyDescent="0.25">
      <c r="A56" s="2" t="s">
        <v>43</v>
      </c>
      <c r="B56" s="2" t="s">
        <v>44</v>
      </c>
      <c r="C56" s="2">
        <v>8</v>
      </c>
      <c r="D56" s="2">
        <v>0</v>
      </c>
      <c r="E56" s="8">
        <v>-0.14493201383323001</v>
      </c>
      <c r="F56" s="8">
        <v>0.28906087676506897</v>
      </c>
      <c r="G56" s="2">
        <v>-5.3321678324322316E-2</v>
      </c>
      <c r="H56" s="2">
        <v>-8.7999999999999939E-2</v>
      </c>
    </row>
    <row r="57" spans="1:8" x14ac:dyDescent="0.25">
      <c r="A57" s="2" t="s">
        <v>43</v>
      </c>
      <c r="B57" s="2" t="s">
        <v>44</v>
      </c>
      <c r="C57" s="2">
        <v>9</v>
      </c>
      <c r="D57" s="2">
        <v>0</v>
      </c>
      <c r="E57" s="8">
        <v>-0.105877357458868</v>
      </c>
      <c r="F57" s="8">
        <v>0.297587703977233</v>
      </c>
      <c r="G57" s="2">
        <v>-7.3868882731243743E-2</v>
      </c>
      <c r="H57" s="2">
        <v>-6.3750926612305386E-2</v>
      </c>
    </row>
    <row r="58" spans="1:8" x14ac:dyDescent="0.25">
      <c r="A58" s="2" t="s">
        <v>43</v>
      </c>
      <c r="B58" s="2" t="s">
        <v>44</v>
      </c>
      <c r="C58" s="2">
        <v>10</v>
      </c>
      <c r="D58" s="2">
        <v>0</v>
      </c>
      <c r="E58" s="8">
        <v>7.4781254043456397E-2</v>
      </c>
      <c r="F58" s="8">
        <v>0.31623706669671198</v>
      </c>
      <c r="G58" s="2">
        <v>8.7736789628663867E-2</v>
      </c>
      <c r="H58" s="2">
        <v>7.6009501187648432E-2</v>
      </c>
    </row>
    <row r="59" spans="1:8" x14ac:dyDescent="0.25">
      <c r="A59" s="2" t="s">
        <v>45</v>
      </c>
      <c r="B59" s="2" t="s">
        <v>46</v>
      </c>
      <c r="C59" s="2">
        <v>8</v>
      </c>
      <c r="D59" s="2">
        <v>0</v>
      </c>
      <c r="E59" s="8">
        <v>-0.115706584645326</v>
      </c>
      <c r="F59" s="8">
        <v>6.4523897381771403E-2</v>
      </c>
      <c r="G59" s="2">
        <v>-8.8652482260982123E-3</v>
      </c>
      <c r="H59" s="2">
        <v>-4.4518533045695231E-2</v>
      </c>
    </row>
    <row r="60" spans="1:8" x14ac:dyDescent="0.25">
      <c r="A60" s="2" t="s">
        <v>45</v>
      </c>
      <c r="B60" s="2" t="s">
        <v>46</v>
      </c>
      <c r="C60" s="2">
        <v>9</v>
      </c>
      <c r="D60" s="2">
        <v>0</v>
      </c>
      <c r="E60" s="8">
        <v>-5.7053197444861002E-2</v>
      </c>
      <c r="F60" s="8">
        <v>5.6307750537228897E-2</v>
      </c>
      <c r="G60" s="2">
        <v>-2.5044722718444355E-2</v>
      </c>
      <c r="H60" s="2">
        <v>-2.8530377668308751E-2</v>
      </c>
    </row>
    <row r="61" spans="1:8" x14ac:dyDescent="0.25">
      <c r="A61" s="2" t="s">
        <v>45</v>
      </c>
      <c r="B61" s="2" t="s">
        <v>46</v>
      </c>
      <c r="C61" s="2">
        <v>10</v>
      </c>
      <c r="D61" s="2">
        <v>1</v>
      </c>
      <c r="E61" s="8">
        <v>-3.6641437082427699E-3</v>
      </c>
      <c r="F61" s="8">
        <v>7.2982673205599202E-2</v>
      </c>
      <c r="G61" s="2">
        <v>4.7706422016352473E-2</v>
      </c>
      <c r="H61" s="2">
        <v>5.1552926262412799E-2</v>
      </c>
    </row>
    <row r="62" spans="1:8" x14ac:dyDescent="0.25">
      <c r="A62" s="2" t="s">
        <v>47</v>
      </c>
      <c r="B62" s="2" t="s">
        <v>48</v>
      </c>
      <c r="C62" s="2">
        <v>8</v>
      </c>
      <c r="D62" s="2">
        <v>1</v>
      </c>
      <c r="E62" s="8">
        <v>-2.72579402491358E-2</v>
      </c>
      <c r="F62" s="8">
        <v>1.5601521598564501</v>
      </c>
      <c r="G62" s="2">
        <v>8.652291104955076E-2</v>
      </c>
      <c r="H62" s="2">
        <v>1.3409010287335876E-2</v>
      </c>
    </row>
    <row r="63" spans="1:8" x14ac:dyDescent="0.25">
      <c r="A63" s="2" t="s">
        <v>47</v>
      </c>
      <c r="B63" s="2" t="s">
        <v>48</v>
      </c>
      <c r="C63" s="2">
        <v>9</v>
      </c>
      <c r="D63" s="2">
        <v>0</v>
      </c>
      <c r="E63" s="8">
        <v>-0.160760645402971</v>
      </c>
      <c r="F63" s="8">
        <v>1.6388553840095199</v>
      </c>
      <c r="G63" s="2">
        <v>-0.12875217067610761</v>
      </c>
      <c r="H63" s="2">
        <v>-0.12671520582469886</v>
      </c>
    </row>
    <row r="64" spans="1:8" x14ac:dyDescent="0.25">
      <c r="A64" s="2" t="s">
        <v>47</v>
      </c>
      <c r="B64" s="2" t="s">
        <v>48</v>
      </c>
      <c r="C64" s="2">
        <v>10</v>
      </c>
      <c r="D64" s="2">
        <v>1</v>
      </c>
      <c r="E64" s="8">
        <v>1.08256266204862E-2</v>
      </c>
      <c r="F64" s="8">
        <v>1.00188645593612</v>
      </c>
      <c r="G64" s="2">
        <v>5.9794988608927672E-2</v>
      </c>
      <c r="H64" s="2">
        <v>5.7319223985890566E-2</v>
      </c>
    </row>
    <row r="65" spans="1:8" x14ac:dyDescent="0.25">
      <c r="A65" s="2" t="s">
        <v>49</v>
      </c>
      <c r="B65" s="2" t="s">
        <v>50</v>
      </c>
      <c r="C65" s="2">
        <v>8</v>
      </c>
      <c r="D65" s="2">
        <v>3</v>
      </c>
      <c r="E65" s="8">
        <v>-0.120250029217692</v>
      </c>
      <c r="F65" s="8">
        <v>8.9827877738749104E-2</v>
      </c>
      <c r="G65" s="2">
        <v>2.4676850763951277E-2</v>
      </c>
      <c r="H65" s="2">
        <v>2.9256875365707717E-4</v>
      </c>
    </row>
    <row r="66" spans="1:8" x14ac:dyDescent="0.25">
      <c r="A66" s="2" t="s">
        <v>49</v>
      </c>
      <c r="B66" s="2" t="s">
        <v>50</v>
      </c>
      <c r="C66" s="2">
        <v>9</v>
      </c>
      <c r="D66" s="2">
        <v>0</v>
      </c>
      <c r="E66" s="8">
        <v>-0.10769654812021499</v>
      </c>
      <c r="F66" s="8">
        <v>0.36393026542902102</v>
      </c>
      <c r="G66" s="2">
        <v>-7.5688073394568608E-2</v>
      </c>
      <c r="H66" s="2">
        <v>-3.9290240811153357E-2</v>
      </c>
    </row>
    <row r="67" spans="1:8" x14ac:dyDescent="0.25">
      <c r="A67" s="2" t="s">
        <v>49</v>
      </c>
      <c r="B67" s="2" t="s">
        <v>50</v>
      </c>
      <c r="C67" s="2">
        <v>10</v>
      </c>
      <c r="D67" s="2">
        <v>0</v>
      </c>
      <c r="E67" s="8">
        <v>0.13524131307232501</v>
      </c>
      <c r="F67" s="8">
        <v>0.38266288342735899</v>
      </c>
      <c r="G67" s="2">
        <v>0.12406947890819532</v>
      </c>
      <c r="H67" s="2">
        <v>0.11020905216155878</v>
      </c>
    </row>
    <row r="68" spans="1:8" x14ac:dyDescent="0.25">
      <c r="A68" s="2" t="s">
        <v>51</v>
      </c>
      <c r="B68" s="2" t="s">
        <v>52</v>
      </c>
      <c r="C68" s="2">
        <v>8</v>
      </c>
      <c r="D68" s="2">
        <v>2</v>
      </c>
      <c r="E68" s="8">
        <v>-9.46802872891227E-2</v>
      </c>
      <c r="F68" s="8">
        <v>0.79707978927845802</v>
      </c>
      <c r="G68" s="2">
        <v>1.3222823427992681E-2</v>
      </c>
      <c r="H68" s="2">
        <v>-2.5660160734787579E-2</v>
      </c>
    </row>
    <row r="69" spans="1:8" x14ac:dyDescent="0.25">
      <c r="A69" s="2" t="s">
        <v>51</v>
      </c>
      <c r="B69" s="2" t="s">
        <v>52</v>
      </c>
      <c r="C69" s="2">
        <v>9</v>
      </c>
      <c r="D69" s="2">
        <v>0</v>
      </c>
      <c r="E69" s="8">
        <v>-7.6026739565902293E-2</v>
      </c>
      <c r="F69" s="8">
        <v>1.1286535670695601</v>
      </c>
      <c r="G69" s="2">
        <v>-4.3678641729204729E-2</v>
      </c>
      <c r="H69" s="2">
        <v>5.5382077417074618E-3</v>
      </c>
    </row>
    <row r="70" spans="1:8" x14ac:dyDescent="0.25">
      <c r="A70" s="2" t="s">
        <v>51</v>
      </c>
      <c r="B70" s="2" t="s">
        <v>52</v>
      </c>
      <c r="C70" s="2">
        <v>10</v>
      </c>
      <c r="D70" s="2">
        <v>2</v>
      </c>
      <c r="E70" s="8">
        <v>1.0609325808291801E-2</v>
      </c>
      <c r="F70" s="8">
        <v>0.73193337851762896</v>
      </c>
      <c r="G70" s="2">
        <v>2.1185668801625902E-2</v>
      </c>
      <c r="H70" s="2">
        <v>-8.9646686588153099E-3</v>
      </c>
    </row>
    <row r="71" spans="1:8" x14ac:dyDescent="0.25">
      <c r="A71" s="2" t="s">
        <v>53</v>
      </c>
      <c r="B71" s="2" t="s">
        <v>54</v>
      </c>
      <c r="C71" s="2">
        <v>8</v>
      </c>
      <c r="D71" s="2">
        <v>0</v>
      </c>
      <c r="E71" s="8">
        <v>-0.118057000265838</v>
      </c>
      <c r="F71" s="8">
        <v>0.15875557732984699</v>
      </c>
      <c r="G71" s="2">
        <v>-1.8729641691579722E-2</v>
      </c>
      <c r="H71" s="2">
        <v>-4.3219881145326884E-2</v>
      </c>
    </row>
    <row r="72" spans="1:8" x14ac:dyDescent="0.25">
      <c r="A72" s="2" t="s">
        <v>53</v>
      </c>
      <c r="B72" s="2" t="s">
        <v>54</v>
      </c>
      <c r="C72" s="2">
        <v>9</v>
      </c>
      <c r="D72" s="2">
        <v>0</v>
      </c>
      <c r="E72" s="8">
        <v>-9.0929636551445897E-2</v>
      </c>
      <c r="F72" s="8">
        <v>0.189931065188951</v>
      </c>
      <c r="G72" s="2">
        <v>-5.8921161827497022E-2</v>
      </c>
      <c r="H72" s="2">
        <v>-5.3830227743271147E-2</v>
      </c>
    </row>
    <row r="73" spans="1:8" x14ac:dyDescent="0.25">
      <c r="A73" s="2" t="s">
        <v>53</v>
      </c>
      <c r="B73" s="2" t="s">
        <v>54</v>
      </c>
      <c r="C73" s="2">
        <v>10</v>
      </c>
      <c r="D73" s="2">
        <v>0</v>
      </c>
      <c r="E73" s="8">
        <v>-1.7580873679355401E-3</v>
      </c>
      <c r="F73" s="8">
        <v>8.4152347840441996E-2</v>
      </c>
      <c r="G73" s="2">
        <v>1.9400352735713808E-2</v>
      </c>
      <c r="H73" s="2">
        <v>2.4666799283867051E-2</v>
      </c>
    </row>
    <row r="74" spans="1:8" x14ac:dyDescent="0.25">
      <c r="A74" s="2" t="s">
        <v>55</v>
      </c>
      <c r="B74" s="2" t="s">
        <v>56</v>
      </c>
      <c r="C74" s="2">
        <v>8</v>
      </c>
      <c r="D74" s="2">
        <v>1</v>
      </c>
      <c r="E74" s="8">
        <v>0.151916161776007</v>
      </c>
      <c r="F74" s="8">
        <v>3.4571322412273102</v>
      </c>
      <c r="G74" s="2">
        <v>0.25491272604874482</v>
      </c>
      <c r="H74" s="2">
        <v>0.19317156055859402</v>
      </c>
    </row>
    <row r="75" spans="1:8" x14ac:dyDescent="0.25">
      <c r="A75" s="2" t="s">
        <v>55</v>
      </c>
      <c r="B75" s="2" t="s">
        <v>56</v>
      </c>
      <c r="C75" s="2">
        <v>9</v>
      </c>
      <c r="D75" s="2">
        <v>1</v>
      </c>
      <c r="E75" s="8">
        <v>0.37490757573100097</v>
      </c>
      <c r="F75" s="8">
        <v>8.5515319632068802</v>
      </c>
      <c r="G75" s="2">
        <v>0.4069160504597707</v>
      </c>
      <c r="H75" s="2">
        <v>0.3973343420408525</v>
      </c>
    </row>
    <row r="76" spans="1:8" x14ac:dyDescent="0.25">
      <c r="A76" s="2" t="s">
        <v>55</v>
      </c>
      <c r="B76" s="2" t="s">
        <v>56</v>
      </c>
      <c r="C76" s="2">
        <v>10</v>
      </c>
      <c r="D76" s="2">
        <v>2</v>
      </c>
      <c r="E76" s="8">
        <v>-2.6119013156181401E-2</v>
      </c>
      <c r="F76" s="8">
        <v>3.73646311605602</v>
      </c>
      <c r="G76" s="2">
        <v>-7.9988924758372937E-3</v>
      </c>
      <c r="H76" s="2">
        <v>-2.3264701667223948E-2</v>
      </c>
    </row>
    <row r="77" spans="1:8" x14ac:dyDescent="0.25">
      <c r="A77" s="2" t="s">
        <v>57</v>
      </c>
      <c r="B77" s="2" t="s">
        <v>58</v>
      </c>
      <c r="C77" s="2">
        <v>8</v>
      </c>
      <c r="D77" s="2">
        <v>2</v>
      </c>
      <c r="E77" s="8">
        <v>-8.7317731663493603E-2</v>
      </c>
      <c r="F77" s="8">
        <v>0.106377584463036</v>
      </c>
      <c r="G77" s="2">
        <v>2.1476510065867732E-2</v>
      </c>
      <c r="H77" s="2">
        <v>-9.232813018930603E-3</v>
      </c>
    </row>
    <row r="78" spans="1:8" x14ac:dyDescent="0.25">
      <c r="A78" s="2" t="s">
        <v>57</v>
      </c>
      <c r="B78" s="2" t="s">
        <v>58</v>
      </c>
      <c r="C78" s="2">
        <v>9</v>
      </c>
      <c r="D78" s="2">
        <v>0</v>
      </c>
      <c r="E78" s="8">
        <v>-0.15684421716987201</v>
      </c>
      <c r="F78" s="8">
        <v>0.33674562958948601</v>
      </c>
      <c r="G78" s="2">
        <v>-0.12483574244415054</v>
      </c>
      <c r="H78" s="2">
        <v>-9.124430142129264E-2</v>
      </c>
    </row>
    <row r="79" spans="1:8" x14ac:dyDescent="0.25">
      <c r="A79" s="2" t="s">
        <v>57</v>
      </c>
      <c r="B79" s="2" t="s">
        <v>58</v>
      </c>
      <c r="C79" s="2">
        <v>10</v>
      </c>
      <c r="D79" s="2">
        <v>3</v>
      </c>
      <c r="E79" s="8">
        <v>4.5100855669040598E-3</v>
      </c>
      <c r="F79" s="8">
        <v>5.6464460451842197E-2</v>
      </c>
      <c r="G79" s="2">
        <v>3.1531531531893787E-2</v>
      </c>
      <c r="H79" s="2">
        <v>1.2320177056436857E-2</v>
      </c>
    </row>
    <row r="80" spans="1:8" x14ac:dyDescent="0.25">
      <c r="A80" s="2" t="s">
        <v>59</v>
      </c>
      <c r="B80" s="2" t="s">
        <v>60</v>
      </c>
      <c r="C80" s="2">
        <v>8</v>
      </c>
      <c r="D80" s="2">
        <v>0</v>
      </c>
      <c r="E80" s="8">
        <v>-7.0334167370873696E-2</v>
      </c>
      <c r="F80" s="8">
        <v>0.529672855008953</v>
      </c>
      <c r="G80" s="2">
        <v>4.9502943123789396E-2</v>
      </c>
      <c r="H80" s="2">
        <v>4.9473042417908016E-2</v>
      </c>
    </row>
    <row r="81" spans="1:8" x14ac:dyDescent="0.25">
      <c r="A81" s="2" t="s">
        <v>59</v>
      </c>
      <c r="B81" s="2" t="s">
        <v>60</v>
      </c>
      <c r="C81" s="2">
        <v>9</v>
      </c>
      <c r="D81" s="2">
        <v>0</v>
      </c>
      <c r="E81" s="8">
        <v>-0.13215153624217199</v>
      </c>
      <c r="F81" s="8">
        <v>0.57834440524850805</v>
      </c>
      <c r="G81" s="2">
        <v>-0.10014306151675781</v>
      </c>
      <c r="H81" s="2">
        <v>-0.12092289816582302</v>
      </c>
    </row>
    <row r="82" spans="1:8" x14ac:dyDescent="0.25">
      <c r="A82" s="2" t="s">
        <v>59</v>
      </c>
      <c r="B82" s="2" t="s">
        <v>60</v>
      </c>
      <c r="C82" s="2">
        <v>10</v>
      </c>
      <c r="D82" s="2">
        <v>1</v>
      </c>
      <c r="E82" s="8">
        <v>2.70326080894264E-2</v>
      </c>
      <c r="F82" s="8">
        <v>0.25688604706459001</v>
      </c>
      <c r="G82" s="2">
        <v>-3.7095919447984174E-3</v>
      </c>
      <c r="H82" s="2">
        <v>4.8149546827795549E-3</v>
      </c>
    </row>
    <row r="83" spans="1:8" x14ac:dyDescent="0.25">
      <c r="A83" s="2" t="s">
        <v>61</v>
      </c>
      <c r="B83" s="2" t="s">
        <v>62</v>
      </c>
      <c r="C83" s="2">
        <v>8</v>
      </c>
      <c r="D83" s="2">
        <v>0</v>
      </c>
      <c r="E83" s="8">
        <v>-0.12635699629254701</v>
      </c>
      <c r="F83" s="8">
        <v>0.193904738516231</v>
      </c>
      <c r="G83" s="2">
        <v>-1.4193548388816542E-2</v>
      </c>
      <c r="H83" s="2">
        <v>-3.9823008849557522E-2</v>
      </c>
    </row>
    <row r="84" spans="1:8" x14ac:dyDescent="0.25">
      <c r="A84" s="2" t="s">
        <v>61</v>
      </c>
      <c r="B84" s="2" t="s">
        <v>62</v>
      </c>
      <c r="C84" s="2">
        <v>9</v>
      </c>
      <c r="D84" s="2">
        <v>0</v>
      </c>
      <c r="E84" s="8">
        <v>-9.3526799333049498E-2</v>
      </c>
      <c r="F84" s="8">
        <v>0.34729287015764998</v>
      </c>
      <c r="G84" s="2">
        <v>-6.1518324608745623E-2</v>
      </c>
      <c r="H84" s="2">
        <v>-6.0201980586331999E-2</v>
      </c>
    </row>
    <row r="85" spans="1:8" x14ac:dyDescent="0.25">
      <c r="A85" s="2" t="s">
        <v>61</v>
      </c>
      <c r="B85" s="2" t="s">
        <v>62</v>
      </c>
      <c r="C85" s="2">
        <v>10</v>
      </c>
      <c r="D85" s="2">
        <v>0</v>
      </c>
      <c r="E85" s="8">
        <v>4.6728035734644999E-2</v>
      </c>
      <c r="F85" s="8">
        <v>0.21405400637937</v>
      </c>
      <c r="G85" s="2">
        <v>1.185495118717478E-2</v>
      </c>
      <c r="H85" s="2">
        <v>4.9660928534167946E-2</v>
      </c>
    </row>
    <row r="86" spans="1:8" x14ac:dyDescent="0.25">
      <c r="A86" s="2" t="s">
        <v>63</v>
      </c>
      <c r="B86" s="2" t="s">
        <v>64</v>
      </c>
      <c r="C86" s="2">
        <v>8</v>
      </c>
      <c r="D86" s="2">
        <v>0</v>
      </c>
      <c r="E86" s="8">
        <v>8.2165651990984995E-2</v>
      </c>
      <c r="F86" s="8">
        <v>3.3533683137435202</v>
      </c>
      <c r="G86" s="2">
        <v>0.19973840798265222</v>
      </c>
      <c r="H86" s="2">
        <v>0.11949304232345977</v>
      </c>
    </row>
    <row r="87" spans="1:8" x14ac:dyDescent="0.25">
      <c r="A87" s="2" t="s">
        <v>63</v>
      </c>
      <c r="B87" s="2" t="s">
        <v>64</v>
      </c>
      <c r="C87" s="2">
        <v>9</v>
      </c>
      <c r="D87" s="2">
        <v>0</v>
      </c>
      <c r="E87" s="8">
        <v>-6.7670774580159299E-2</v>
      </c>
      <c r="F87" s="8">
        <v>1.77335137754059</v>
      </c>
      <c r="G87" s="2">
        <v>-3.5662299855724444E-2</v>
      </c>
      <c r="H87" s="2">
        <v>-4.5310364391262854E-2</v>
      </c>
    </row>
    <row r="88" spans="1:8" x14ac:dyDescent="0.25">
      <c r="A88" s="2" t="s">
        <v>63</v>
      </c>
      <c r="B88" s="2" t="s">
        <v>64</v>
      </c>
      <c r="C88" s="2">
        <v>10</v>
      </c>
      <c r="D88" s="2">
        <v>0</v>
      </c>
      <c r="E88" s="8">
        <v>-5.0937815164015597E-2</v>
      </c>
      <c r="F88" s="8">
        <v>1.7380127258723199</v>
      </c>
      <c r="G88" s="2">
        <v>-7.8113035582439164E-2</v>
      </c>
      <c r="H88" s="2">
        <v>-4.4570502431117605E-3</v>
      </c>
    </row>
    <row r="89" spans="1:8" x14ac:dyDescent="0.25">
      <c r="A89" s="2" t="s">
        <v>65</v>
      </c>
      <c r="B89" s="2" t="s">
        <v>66</v>
      </c>
      <c r="C89" s="2">
        <v>8</v>
      </c>
      <c r="D89" s="2">
        <v>0</v>
      </c>
      <c r="E89" s="8">
        <v>0.14117231418325701</v>
      </c>
      <c r="F89" s="8">
        <v>2.06071566394276</v>
      </c>
      <c r="G89" s="2">
        <v>0.24773413897127508</v>
      </c>
      <c r="H89" s="2">
        <v>0.20400983288604232</v>
      </c>
    </row>
    <row r="90" spans="1:8" x14ac:dyDescent="0.25">
      <c r="A90" s="2" t="s">
        <v>65</v>
      </c>
      <c r="B90" s="2" t="s">
        <v>66</v>
      </c>
      <c r="C90" s="2">
        <v>9</v>
      </c>
      <c r="D90" s="2">
        <v>1</v>
      </c>
      <c r="E90" s="8">
        <v>-9.3924766666224693E-2</v>
      </c>
      <c r="F90" s="8">
        <v>0.72107063256165005</v>
      </c>
      <c r="G90" s="2">
        <v>-6.1916291939991715E-2</v>
      </c>
      <c r="H90" s="2">
        <v>-9.858205181036582E-2</v>
      </c>
    </row>
    <row r="91" spans="1:8" x14ac:dyDescent="0.25">
      <c r="A91" s="2" t="s">
        <v>65</v>
      </c>
      <c r="B91" s="2" t="s">
        <v>66</v>
      </c>
      <c r="C91" s="2">
        <v>10</v>
      </c>
      <c r="D91" s="2">
        <v>0</v>
      </c>
      <c r="E91" s="8">
        <v>-5.97289322119368E-2</v>
      </c>
      <c r="F91" s="8">
        <v>0.51328669892577405</v>
      </c>
      <c r="G91" s="2">
        <v>-4.4985250736296521E-2</v>
      </c>
      <c r="H91" s="2">
        <v>-6.1507771590059617E-3</v>
      </c>
    </row>
    <row r="92" spans="1:8" x14ac:dyDescent="0.25">
      <c r="A92" s="2" t="s">
        <v>67</v>
      </c>
      <c r="B92" s="2" t="s">
        <v>68</v>
      </c>
      <c r="C92" s="2">
        <v>8</v>
      </c>
      <c r="D92" s="2">
        <v>0</v>
      </c>
      <c r="E92" s="8">
        <v>-0.14690976297977901</v>
      </c>
      <c r="F92" s="8">
        <v>0.21270816134968201</v>
      </c>
      <c r="G92" s="2">
        <v>-4.4585987261231745E-2</v>
      </c>
      <c r="H92" s="2">
        <v>-4.4491807646196861E-2</v>
      </c>
    </row>
    <row r="93" spans="1:8" x14ac:dyDescent="0.25">
      <c r="A93" s="2" t="s">
        <v>67</v>
      </c>
      <c r="B93" s="2" t="s">
        <v>68</v>
      </c>
      <c r="C93" s="2">
        <v>9</v>
      </c>
      <c r="D93" s="2">
        <v>0</v>
      </c>
      <c r="E93" s="8">
        <v>-7.5341808059053106E-2</v>
      </c>
      <c r="F93" s="8">
        <v>0.20722083918003101</v>
      </c>
      <c r="G93" s="2">
        <v>-4.3333333333329158E-2</v>
      </c>
      <c r="H93" s="2">
        <v>-6.0922905339467544E-2</v>
      </c>
    </row>
    <row r="94" spans="1:8" x14ac:dyDescent="0.25">
      <c r="A94" s="2" t="s">
        <v>67</v>
      </c>
      <c r="B94" s="2" t="s">
        <v>68</v>
      </c>
      <c r="C94" s="2">
        <v>10</v>
      </c>
      <c r="D94" s="2">
        <v>0</v>
      </c>
      <c r="E94" s="8">
        <v>6.0400470725582002E-2</v>
      </c>
      <c r="F94" s="8">
        <v>0.25852949541590098</v>
      </c>
      <c r="G94" s="2">
        <v>8.7108013937170867E-2</v>
      </c>
      <c r="H94" s="2">
        <v>8.076009501187649E-2</v>
      </c>
    </row>
    <row r="95" spans="1:8" x14ac:dyDescent="0.25">
      <c r="A95" s="2" t="s">
        <v>69</v>
      </c>
      <c r="B95" s="2" t="s">
        <v>70</v>
      </c>
      <c r="C95" s="2">
        <v>8</v>
      </c>
      <c r="D95" s="2">
        <v>0</v>
      </c>
      <c r="E95" s="8">
        <v>-0.108744498884653</v>
      </c>
      <c r="F95" s="8">
        <v>8.0643247289114997E-2</v>
      </c>
      <c r="G95" s="2">
        <v>-5.405405405728877E-3</v>
      </c>
      <c r="H95" s="2">
        <v>-5.3084648493542698E-3</v>
      </c>
    </row>
    <row r="96" spans="1:8" x14ac:dyDescent="0.25">
      <c r="A96" s="2" t="s">
        <v>69</v>
      </c>
      <c r="B96" s="2" t="s">
        <v>70</v>
      </c>
      <c r="C96" s="2">
        <v>9</v>
      </c>
      <c r="D96" s="2">
        <v>1</v>
      </c>
      <c r="E96" s="8">
        <v>-9.3602677624270395E-2</v>
      </c>
      <c r="F96" s="8">
        <v>0.14045149830679399</v>
      </c>
      <c r="G96" s="2">
        <v>-6.1594202898133103E-2</v>
      </c>
      <c r="H96" s="2">
        <v>-7.6734458387422502E-2</v>
      </c>
    </row>
    <row r="97" spans="1:8" x14ac:dyDescent="0.25">
      <c r="A97" s="2" t="s">
        <v>69</v>
      </c>
      <c r="B97" s="2" t="s">
        <v>70</v>
      </c>
      <c r="C97" s="2">
        <v>10</v>
      </c>
      <c r="D97" s="2">
        <v>0</v>
      </c>
      <c r="E97" s="8">
        <v>8.3017164073982699E-2</v>
      </c>
      <c r="F97" s="8">
        <v>0.152730057906868</v>
      </c>
      <c r="G97" s="2">
        <v>6.7567567567008879E-2</v>
      </c>
      <c r="H97" s="2">
        <v>5.5303858772066845E-2</v>
      </c>
    </row>
    <row r="98" spans="1:8" x14ac:dyDescent="0.25">
      <c r="A98" s="2" t="s">
        <v>71</v>
      </c>
      <c r="B98" s="2" t="s">
        <v>72</v>
      </c>
      <c r="C98" s="2">
        <v>8</v>
      </c>
      <c r="D98" s="2">
        <v>0</v>
      </c>
      <c r="E98" s="8">
        <v>-0.114450204590359</v>
      </c>
      <c r="F98" s="8">
        <v>7.1524221671503296E-2</v>
      </c>
      <c r="G98" s="2">
        <v>-9.2764378459809539E-3</v>
      </c>
      <c r="H98" s="2">
        <v>-9.2995350232488137E-3</v>
      </c>
    </row>
    <row r="99" spans="1:8" x14ac:dyDescent="0.25">
      <c r="A99" s="2" t="s">
        <v>71</v>
      </c>
      <c r="B99" s="2" t="s">
        <v>72</v>
      </c>
      <c r="C99" s="2">
        <v>9</v>
      </c>
      <c r="D99" s="2">
        <v>0</v>
      </c>
      <c r="E99" s="8">
        <v>-7.13343174223489E-2</v>
      </c>
      <c r="F99" s="8">
        <v>5.0231067808281099E-2</v>
      </c>
      <c r="G99" s="2">
        <v>-3.9325842697747283E-2</v>
      </c>
      <c r="H99" s="2">
        <v>-4.7766843300529854E-2</v>
      </c>
    </row>
    <row r="100" spans="1:8" x14ac:dyDescent="0.25">
      <c r="A100" s="2" t="s">
        <v>71</v>
      </c>
      <c r="B100" s="2" t="s">
        <v>72</v>
      </c>
      <c r="C100" s="2">
        <v>10</v>
      </c>
      <c r="D100" s="2">
        <v>0</v>
      </c>
      <c r="E100" s="8">
        <v>1.17014874951482E-2</v>
      </c>
      <c r="F100" s="8">
        <v>4.7496129873297897E-2</v>
      </c>
      <c r="G100" s="2">
        <v>2.1442495127909432E-2</v>
      </c>
      <c r="H100" s="2">
        <v>7.6317672310994931E-3</v>
      </c>
    </row>
    <row r="101" spans="1:8" x14ac:dyDescent="0.25">
      <c r="A101" s="2" t="s">
        <v>73</v>
      </c>
      <c r="B101" s="2" t="s">
        <v>74</v>
      </c>
      <c r="C101" s="2">
        <v>8</v>
      </c>
      <c r="D101" s="2">
        <v>0</v>
      </c>
      <c r="E101" s="8">
        <v>-0.162643796955731</v>
      </c>
      <c r="F101" s="8">
        <v>0.13182961586475</v>
      </c>
      <c r="G101" s="2">
        <v>-6.1224489797725865E-2</v>
      </c>
      <c r="H101" s="2">
        <v>-6.125613853708968E-2</v>
      </c>
    </row>
    <row r="102" spans="1:8" x14ac:dyDescent="0.25">
      <c r="A102" s="2" t="s">
        <v>73</v>
      </c>
      <c r="B102" s="2" t="s">
        <v>74</v>
      </c>
      <c r="C102" s="2">
        <v>9</v>
      </c>
      <c r="D102" s="2">
        <v>0</v>
      </c>
      <c r="E102" s="8">
        <v>-0.166791083421372</v>
      </c>
      <c r="F102" s="8">
        <v>0.209728746685205</v>
      </c>
      <c r="G102" s="2">
        <v>-0.1347826086945943</v>
      </c>
      <c r="H102" s="2">
        <v>-0.1200440528634362</v>
      </c>
    </row>
    <row r="103" spans="1:8" x14ac:dyDescent="0.25">
      <c r="A103" s="2" t="s">
        <v>73</v>
      </c>
      <c r="B103" s="2" t="s">
        <v>74</v>
      </c>
      <c r="C103" s="2">
        <v>10</v>
      </c>
      <c r="D103" s="2">
        <v>0</v>
      </c>
      <c r="E103" s="8">
        <v>-1.75823586360929E-2</v>
      </c>
      <c r="F103" s="8">
        <v>6.6988805034871299E-2</v>
      </c>
      <c r="G103" s="2">
        <v>3.5175879395370063E-2</v>
      </c>
      <c r="H103" s="2">
        <v>1.7209011264080115E-2</v>
      </c>
    </row>
    <row r="104" spans="1:8" x14ac:dyDescent="0.25">
      <c r="A104" s="2" t="s">
        <v>75</v>
      </c>
      <c r="B104" s="2" t="s">
        <v>76</v>
      </c>
      <c r="C104" s="2">
        <v>8</v>
      </c>
      <c r="D104" s="2">
        <v>1</v>
      </c>
      <c r="E104" s="8">
        <v>0.28374423985408498</v>
      </c>
      <c r="F104" s="8">
        <v>9.4822896069713103</v>
      </c>
      <c r="G104" s="2">
        <v>0.32629482071959937</v>
      </c>
      <c r="H104" s="2">
        <v>0.20244065116968468</v>
      </c>
    </row>
    <row r="105" spans="1:8" x14ac:dyDescent="0.25">
      <c r="A105" s="2" t="s">
        <v>75</v>
      </c>
      <c r="B105" s="2" t="s">
        <v>76</v>
      </c>
      <c r="C105" s="2">
        <v>9</v>
      </c>
      <c r="D105" s="2">
        <v>1</v>
      </c>
      <c r="E105" s="8">
        <v>0.58990000629961303</v>
      </c>
      <c r="F105" s="8">
        <v>17.777805828801799</v>
      </c>
      <c r="G105" s="2">
        <v>0.62190848102671092</v>
      </c>
      <c r="H105" s="2">
        <v>0.57706056372750414</v>
      </c>
    </row>
    <row r="106" spans="1:8" x14ac:dyDescent="0.25">
      <c r="A106" s="2" t="s">
        <v>75</v>
      </c>
      <c r="B106" s="2" t="s">
        <v>76</v>
      </c>
      <c r="C106" s="2">
        <v>10</v>
      </c>
      <c r="D106" s="2">
        <v>4</v>
      </c>
      <c r="E106" s="8">
        <v>0.17175517977829</v>
      </c>
      <c r="F106" s="8">
        <v>17.270546267630099</v>
      </c>
      <c r="G106" s="2">
        <v>1.8644277069787416E-2</v>
      </c>
      <c r="H106" s="2">
        <v>9.7961310493063211E-2</v>
      </c>
    </row>
    <row r="107" spans="1:8" x14ac:dyDescent="0.25">
      <c r="A107" s="2" t="s">
        <v>77</v>
      </c>
      <c r="B107" s="2" t="s">
        <v>78</v>
      </c>
      <c r="C107" s="2">
        <v>8</v>
      </c>
      <c r="D107" s="2">
        <v>0</v>
      </c>
      <c r="E107" s="8">
        <v>-3.03153062142641E-2</v>
      </c>
      <c r="F107" s="8">
        <v>3.5531131219175802</v>
      </c>
      <c r="G107" s="2">
        <v>0.14141577992951376</v>
      </c>
      <c r="H107" s="2">
        <v>3.8286419199282287E-2</v>
      </c>
    </row>
    <row r="108" spans="1:8" x14ac:dyDescent="0.25">
      <c r="A108" s="2" t="s">
        <v>77</v>
      </c>
      <c r="B108" s="2" t="s">
        <v>78</v>
      </c>
      <c r="C108" s="2">
        <v>9</v>
      </c>
      <c r="D108" s="2">
        <v>0</v>
      </c>
      <c r="E108" s="8">
        <v>5.2502657897707201E-2</v>
      </c>
      <c r="F108" s="8">
        <v>2.8448610918698001</v>
      </c>
      <c r="G108" s="2">
        <v>8.451113262245312E-2</v>
      </c>
      <c r="H108" s="2">
        <v>1.2183530631642618E-2</v>
      </c>
    </row>
    <row r="109" spans="1:8" x14ac:dyDescent="0.25">
      <c r="A109" s="2" t="s">
        <v>77</v>
      </c>
      <c r="B109" s="2" t="s">
        <v>78</v>
      </c>
      <c r="C109" s="2">
        <v>10</v>
      </c>
      <c r="D109" s="2">
        <v>0</v>
      </c>
      <c r="E109" s="8">
        <v>-0.112732078493077</v>
      </c>
      <c r="F109" s="8">
        <v>4.2589986050299498</v>
      </c>
      <c r="G109" s="2">
        <v>-6.3248170828676203E-2</v>
      </c>
      <c r="H109" s="2">
        <v>1.9677309202663494E-2</v>
      </c>
    </row>
    <row r="110" spans="1:8" x14ac:dyDescent="0.25">
      <c r="A110" s="2" t="s">
        <v>79</v>
      </c>
      <c r="B110" s="2" t="s">
        <v>80</v>
      </c>
      <c r="C110" s="2">
        <v>8</v>
      </c>
      <c r="D110" s="2">
        <v>0</v>
      </c>
      <c r="E110" s="8">
        <v>0.279211242091222</v>
      </c>
      <c r="F110" s="8">
        <v>1.03369678707977</v>
      </c>
      <c r="G110" s="2">
        <v>0.37639198218419323</v>
      </c>
      <c r="H110" s="2">
        <v>0.28917870990482897</v>
      </c>
    </row>
    <row r="111" spans="1:8" x14ac:dyDescent="0.25">
      <c r="A111" s="2" t="s">
        <v>79</v>
      </c>
      <c r="B111" s="2" t="s">
        <v>80</v>
      </c>
      <c r="C111" s="2">
        <v>9</v>
      </c>
      <c r="D111" s="2">
        <v>1</v>
      </c>
      <c r="E111" s="8">
        <v>0.238218062491109</v>
      </c>
      <c r="F111" s="8">
        <v>0.83321795738100002</v>
      </c>
      <c r="G111" s="2">
        <v>0.27022653721780143</v>
      </c>
      <c r="H111" s="2">
        <v>0.11650352709575106</v>
      </c>
    </row>
    <row r="112" spans="1:8" x14ac:dyDescent="0.25">
      <c r="A112" s="2" t="s">
        <v>79</v>
      </c>
      <c r="B112" s="2" t="s">
        <v>80</v>
      </c>
      <c r="C112" s="2">
        <v>10</v>
      </c>
      <c r="D112" s="2">
        <v>0</v>
      </c>
      <c r="E112" s="8">
        <v>8.5355899533737095E-2</v>
      </c>
      <c r="F112" s="8">
        <v>0.86013422345174795</v>
      </c>
      <c r="G112" s="2">
        <v>6.8789808917000178E-2</v>
      </c>
      <c r="H112" s="2">
        <v>0.21591771764417789</v>
      </c>
    </row>
    <row r="113" spans="1:8" x14ac:dyDescent="0.25">
      <c r="A113" s="2" t="s">
        <v>81</v>
      </c>
      <c r="B113" s="2" t="s">
        <v>82</v>
      </c>
      <c r="C113" s="2">
        <v>8</v>
      </c>
      <c r="D113" s="2">
        <v>1</v>
      </c>
      <c r="E113" s="8">
        <v>-0.15325589880370699</v>
      </c>
      <c r="F113" s="8">
        <v>5.9593863538359299E-2</v>
      </c>
      <c r="G113" s="2">
        <v>3.514938488632506E-3</v>
      </c>
      <c r="H113" s="2">
        <v>-8.0616478956728257E-3</v>
      </c>
    </row>
    <row r="114" spans="1:8" x14ac:dyDescent="0.25">
      <c r="A114" s="2" t="s">
        <v>81</v>
      </c>
      <c r="B114" s="2" t="s">
        <v>82</v>
      </c>
      <c r="C114" s="2">
        <v>9</v>
      </c>
      <c r="D114" s="2">
        <v>3</v>
      </c>
      <c r="E114" s="8">
        <v>-0.105563641100501</v>
      </c>
      <c r="F114" s="8">
        <v>0.17181045127940001</v>
      </c>
      <c r="G114" s="2">
        <v>-7.4071886921997857E-2</v>
      </c>
      <c r="H114" s="2">
        <v>-5.1392374805784673E-2</v>
      </c>
    </row>
    <row r="115" spans="1:8" x14ac:dyDescent="0.25">
      <c r="A115" s="2" t="s">
        <v>81</v>
      </c>
      <c r="B115" s="2" t="s">
        <v>82</v>
      </c>
      <c r="C115" s="2">
        <v>10</v>
      </c>
      <c r="D115" s="2">
        <v>1</v>
      </c>
      <c r="E115" s="8">
        <v>3.40320460907549E-2</v>
      </c>
      <c r="F115" s="8">
        <v>7.3868922065093504E-2</v>
      </c>
      <c r="G115" s="2">
        <v>4.7258979206860126E-2</v>
      </c>
      <c r="H115" s="2">
        <v>3.5529797152576544E-2</v>
      </c>
    </row>
    <row r="116" spans="1:8" x14ac:dyDescent="0.25">
      <c r="A116" s="2" t="s">
        <v>83</v>
      </c>
      <c r="B116" s="2" t="s">
        <v>84</v>
      </c>
      <c r="C116" s="2">
        <v>8</v>
      </c>
      <c r="D116" s="2">
        <v>1</v>
      </c>
      <c r="E116" s="8">
        <v>-2.39221496857565E-3</v>
      </c>
      <c r="F116" s="8">
        <v>3.1210809330224301</v>
      </c>
      <c r="G116" s="2">
        <v>0.1260669730810737</v>
      </c>
      <c r="H116" s="2">
        <v>8.364219172593422E-2</v>
      </c>
    </row>
    <row r="117" spans="1:8" x14ac:dyDescent="0.25">
      <c r="A117" s="2" t="s">
        <v>83</v>
      </c>
      <c r="B117" s="2" t="s">
        <v>84</v>
      </c>
      <c r="C117" s="2">
        <v>9</v>
      </c>
      <c r="D117" s="2">
        <v>0</v>
      </c>
      <c r="E117" s="8">
        <v>-6.1454538865661303E-2</v>
      </c>
      <c r="F117" s="8">
        <v>1.80251411724212</v>
      </c>
      <c r="G117" s="2">
        <v>-2.9446064142122006E-2</v>
      </c>
      <c r="H117" s="2">
        <v>-6.6879275281937628E-2</v>
      </c>
    </row>
    <row r="118" spans="1:8" x14ac:dyDescent="0.25">
      <c r="A118" s="2" t="s">
        <v>83</v>
      </c>
      <c r="B118" s="2" t="s">
        <v>84</v>
      </c>
      <c r="C118" s="2">
        <v>10</v>
      </c>
      <c r="D118" s="2">
        <v>1</v>
      </c>
      <c r="E118" s="8">
        <v>-5.9321544200442097E-2</v>
      </c>
      <c r="F118" s="8">
        <v>2.2703640547666502</v>
      </c>
      <c r="G118" s="2">
        <v>-7.7050165212985605E-2</v>
      </c>
      <c r="H118" s="2">
        <v>-4.0021794046262812E-2</v>
      </c>
    </row>
    <row r="119" spans="1:8" x14ac:dyDescent="0.25">
      <c r="A119" s="2" t="s">
        <v>85</v>
      </c>
      <c r="B119" s="2" t="s">
        <v>86</v>
      </c>
      <c r="C119" s="2">
        <v>8</v>
      </c>
      <c r="D119" s="2">
        <v>1</v>
      </c>
      <c r="E119" s="8">
        <v>-7.4991097389316502E-2</v>
      </c>
      <c r="F119" s="8">
        <v>0.84566232144086995</v>
      </c>
      <c r="G119" s="2">
        <v>3.2891507118311229E-2</v>
      </c>
      <c r="H119" s="2">
        <v>5.0873470861734209E-2</v>
      </c>
    </row>
    <row r="120" spans="1:8" x14ac:dyDescent="0.25">
      <c r="A120" s="2" t="s">
        <v>85</v>
      </c>
      <c r="B120" s="2" t="s">
        <v>86</v>
      </c>
      <c r="C120" s="2">
        <v>9</v>
      </c>
      <c r="D120" s="2">
        <v>0</v>
      </c>
      <c r="E120" s="8">
        <v>-8.9993265600244399E-2</v>
      </c>
      <c r="F120" s="8">
        <v>0.93204297784711099</v>
      </c>
      <c r="G120" s="2">
        <v>-5.7984790874524676E-2</v>
      </c>
      <c r="H120" s="2">
        <v>-8.5567010309278282E-2</v>
      </c>
    </row>
    <row r="121" spans="1:8" x14ac:dyDescent="0.25">
      <c r="A121" s="2" t="s">
        <v>85</v>
      </c>
      <c r="B121" s="2" t="s">
        <v>86</v>
      </c>
      <c r="C121" s="2">
        <v>10</v>
      </c>
      <c r="D121" s="2">
        <v>0</v>
      </c>
      <c r="E121" s="8">
        <v>0.109238678943328</v>
      </c>
      <c r="F121" s="8">
        <v>2.2002200758908002</v>
      </c>
      <c r="G121" s="2">
        <v>0.11957618567103936</v>
      </c>
      <c r="H121" s="2">
        <v>0.16873355881247648</v>
      </c>
    </row>
    <row r="122" spans="1:8" x14ac:dyDescent="0.25">
      <c r="A122" s="2" t="s">
        <v>87</v>
      </c>
      <c r="B122" s="2" t="s">
        <v>88</v>
      </c>
      <c r="C122" s="2">
        <v>8</v>
      </c>
      <c r="D122" s="2">
        <v>0</v>
      </c>
      <c r="E122" s="8">
        <v>-4.61732319655603E-2</v>
      </c>
      <c r="F122" s="8">
        <v>0.42549355095555003</v>
      </c>
      <c r="G122" s="2">
        <v>5.4618473894461686E-2</v>
      </c>
      <c r="H122" s="2">
        <v>5.4598771178551359E-2</v>
      </c>
    </row>
    <row r="123" spans="1:8" x14ac:dyDescent="0.25">
      <c r="A123" s="2" t="s">
        <v>87</v>
      </c>
      <c r="B123" s="2" t="s">
        <v>88</v>
      </c>
      <c r="C123" s="2">
        <v>9</v>
      </c>
      <c r="D123" s="2">
        <v>0</v>
      </c>
      <c r="E123" s="8">
        <v>-6.7423554695255197E-2</v>
      </c>
      <c r="F123" s="8">
        <v>0.45282494730351802</v>
      </c>
      <c r="G123" s="2">
        <v>-3.5415079971054628E-2</v>
      </c>
      <c r="H123" s="2">
        <v>-7.2957584852363422E-2</v>
      </c>
    </row>
    <row r="124" spans="1:8" x14ac:dyDescent="0.25">
      <c r="A124" s="2" t="s">
        <v>87</v>
      </c>
      <c r="B124" s="2" t="s">
        <v>88</v>
      </c>
      <c r="C124" s="2">
        <v>10</v>
      </c>
      <c r="D124" s="2">
        <v>1</v>
      </c>
      <c r="E124" s="8">
        <v>5.8434321686165802E-2</v>
      </c>
      <c r="F124" s="8">
        <v>0.41094582439566801</v>
      </c>
      <c r="G124" s="2">
        <v>1.157945817460624E-2</v>
      </c>
      <c r="H124" s="2">
        <v>-3.7611883450772423E-3</v>
      </c>
    </row>
    <row r="125" spans="1:8" x14ac:dyDescent="0.25">
      <c r="A125" s="2" t="s">
        <v>89</v>
      </c>
      <c r="B125" s="2" t="s">
        <v>90</v>
      </c>
      <c r="C125" s="2">
        <v>8</v>
      </c>
      <c r="D125" s="2">
        <v>0</v>
      </c>
      <c r="E125" s="8">
        <v>-5.32093356937808E-2</v>
      </c>
      <c r="F125" s="8">
        <v>7.1837661564444302</v>
      </c>
      <c r="G125" s="2">
        <v>6.847687364982917E-2</v>
      </c>
      <c r="H125" s="2">
        <v>3.7566567131317813E-2</v>
      </c>
    </row>
    <row r="126" spans="1:8" x14ac:dyDescent="0.25">
      <c r="A126" s="2" t="s">
        <v>89</v>
      </c>
      <c r="B126" s="2" t="s">
        <v>90</v>
      </c>
      <c r="C126" s="2">
        <v>9</v>
      </c>
      <c r="D126" s="2">
        <v>0</v>
      </c>
      <c r="E126" s="8">
        <v>-2.00639959580604E-2</v>
      </c>
      <c r="F126" s="8">
        <v>4.1090859096625101</v>
      </c>
      <c r="G126" s="2">
        <v>1.1944478769028754E-2</v>
      </c>
      <c r="H126" s="2">
        <v>2.4203923024893582E-2</v>
      </c>
    </row>
    <row r="127" spans="1:8" x14ac:dyDescent="0.25">
      <c r="A127" s="2" t="s">
        <v>89</v>
      </c>
      <c r="B127" s="2" t="s">
        <v>90</v>
      </c>
      <c r="C127" s="2">
        <v>10</v>
      </c>
      <c r="D127" s="2">
        <v>0</v>
      </c>
      <c r="E127" s="8">
        <v>-0.124745121041878</v>
      </c>
      <c r="F127" s="8">
        <v>8.6522982750929707</v>
      </c>
      <c r="G127" s="2">
        <v>-9.8253897186929423E-2</v>
      </c>
      <c r="H127" s="2">
        <v>-7.1271333488721389E-2</v>
      </c>
    </row>
    <row r="128" spans="1:8" x14ac:dyDescent="0.25">
      <c r="A128" s="2" t="s">
        <v>91</v>
      </c>
      <c r="B128" s="2" t="s">
        <v>92</v>
      </c>
      <c r="C128" s="2">
        <v>8</v>
      </c>
      <c r="D128" s="2">
        <v>0</v>
      </c>
      <c r="E128" s="8">
        <v>-9.1924701419694596E-2</v>
      </c>
      <c r="F128" s="8">
        <v>0.68390788853470597</v>
      </c>
      <c r="G128" s="2">
        <v>1.8490754622688656E-2</v>
      </c>
      <c r="H128" s="2">
        <v>-2.1542799242257247E-2</v>
      </c>
    </row>
    <row r="129" spans="1:8" x14ac:dyDescent="0.25">
      <c r="A129" s="2" t="s">
        <v>91</v>
      </c>
      <c r="B129" s="2" t="s">
        <v>92</v>
      </c>
      <c r="C129" s="2">
        <v>9</v>
      </c>
      <c r="D129" s="2">
        <v>0</v>
      </c>
      <c r="E129" s="8">
        <v>-5.0654205834650003E-2</v>
      </c>
      <c r="F129" s="8">
        <v>0.23245397067989401</v>
      </c>
      <c r="G129" s="2">
        <v>-1.8645731108930325E-2</v>
      </c>
      <c r="H129" s="2">
        <v>1.3057181449796949E-3</v>
      </c>
    </row>
    <row r="130" spans="1:8" x14ac:dyDescent="0.25">
      <c r="A130" s="2" t="s">
        <v>91</v>
      </c>
      <c r="B130" s="2" t="s">
        <v>92</v>
      </c>
      <c r="C130" s="2">
        <v>10</v>
      </c>
      <c r="D130" s="2">
        <v>0</v>
      </c>
      <c r="E130" s="8">
        <v>0.13500558106239899</v>
      </c>
      <c r="F130" s="8">
        <v>0.864493221148531</v>
      </c>
      <c r="G130" s="2">
        <v>0.13800000000000001</v>
      </c>
      <c r="H130" s="2">
        <v>0.1200593551868339</v>
      </c>
    </row>
    <row r="131" spans="1:8" x14ac:dyDescent="0.25">
      <c r="A131" s="2" t="s">
        <v>93</v>
      </c>
      <c r="B131" s="2" t="s">
        <v>94</v>
      </c>
      <c r="C131" s="2">
        <v>8</v>
      </c>
      <c r="D131" s="2">
        <v>0</v>
      </c>
      <c r="E131" s="8">
        <v>-9.0780787056571305E-2</v>
      </c>
      <c r="F131" s="8">
        <v>0.32109930224895</v>
      </c>
      <c r="G131" s="2">
        <v>-9.1292134835791218E-3</v>
      </c>
      <c r="H131" s="2">
        <v>-5.4511890541861244E-2</v>
      </c>
    </row>
    <row r="132" spans="1:8" x14ac:dyDescent="0.25">
      <c r="A132" s="2" t="s">
        <v>93</v>
      </c>
      <c r="B132" s="2" t="s">
        <v>94</v>
      </c>
      <c r="C132" s="2">
        <v>9</v>
      </c>
      <c r="D132" s="2">
        <v>0</v>
      </c>
      <c r="E132" s="8">
        <v>-9.54386660793696E-2</v>
      </c>
      <c r="F132" s="8">
        <v>1.0389563528032899</v>
      </c>
      <c r="G132" s="2">
        <v>-6.3430191350082543E-2</v>
      </c>
      <c r="H132" s="2">
        <v>-6.5579418858389846E-2</v>
      </c>
    </row>
    <row r="133" spans="1:8" x14ac:dyDescent="0.25">
      <c r="A133" s="2" t="s">
        <v>93</v>
      </c>
      <c r="B133" s="2" t="s">
        <v>94</v>
      </c>
      <c r="C133" s="2">
        <v>10</v>
      </c>
      <c r="D133" s="2">
        <v>0</v>
      </c>
      <c r="E133" s="8">
        <v>7.2271945042724897E-2</v>
      </c>
      <c r="F133" s="8">
        <v>0.561413002007907</v>
      </c>
      <c r="G133" s="2">
        <v>5.0321604235419301E-2</v>
      </c>
      <c r="H133" s="2">
        <v>5.2728613569321597E-2</v>
      </c>
    </row>
    <row r="134" spans="1:8" x14ac:dyDescent="0.25">
      <c r="A134" s="2" t="s">
        <v>95</v>
      </c>
      <c r="B134" s="2" t="s">
        <v>96</v>
      </c>
      <c r="C134" s="2">
        <v>8</v>
      </c>
      <c r="D134" s="2">
        <v>2</v>
      </c>
      <c r="E134" s="8">
        <v>-0.12168771733245901</v>
      </c>
      <c r="F134" s="8">
        <v>0.209690247746526</v>
      </c>
      <c r="G134" s="2">
        <v>-1.0023130300823344E-2</v>
      </c>
      <c r="H134" s="2">
        <v>-1.3472962214465074E-2</v>
      </c>
    </row>
    <row r="135" spans="1:8" x14ac:dyDescent="0.25">
      <c r="A135" s="2" t="s">
        <v>95</v>
      </c>
      <c r="B135" s="2" t="s">
        <v>96</v>
      </c>
      <c r="C135" s="2">
        <v>9</v>
      </c>
      <c r="D135" s="2">
        <v>2</v>
      </c>
      <c r="E135" s="8">
        <v>-1.44851102397384E-2</v>
      </c>
      <c r="F135" s="8">
        <v>0.26899242815909602</v>
      </c>
      <c r="G135" s="2">
        <v>1.7523364486146852E-2</v>
      </c>
      <c r="H135" s="2">
        <v>3.1907629275560317E-2</v>
      </c>
    </row>
    <row r="136" spans="1:8" x14ac:dyDescent="0.25">
      <c r="A136" s="2" t="s">
        <v>95</v>
      </c>
      <c r="B136" s="2" t="s">
        <v>96</v>
      </c>
      <c r="C136" s="2">
        <v>10</v>
      </c>
      <c r="D136" s="2">
        <v>1</v>
      </c>
      <c r="E136" s="8">
        <v>3.7510364835839999E-2</v>
      </c>
      <c r="F136" s="8">
        <v>0.561691248662047</v>
      </c>
      <c r="G136" s="2">
        <v>4.515882127812481E-2</v>
      </c>
      <c r="H136" s="2">
        <v>7.5497804247127431E-2</v>
      </c>
    </row>
    <row r="137" spans="1:8" x14ac:dyDescent="0.25">
      <c r="A137" s="2" t="s">
        <v>97</v>
      </c>
      <c r="B137" s="2" t="s">
        <v>98</v>
      </c>
      <c r="C137" s="2">
        <v>8</v>
      </c>
      <c r="D137" s="2">
        <v>0</v>
      </c>
      <c r="E137" s="8">
        <v>-0.17310653533971301</v>
      </c>
      <c r="F137" s="8">
        <v>0.15967079227198</v>
      </c>
      <c r="G137" s="2">
        <v>-7.4074074077047636E-2</v>
      </c>
      <c r="H137" s="2">
        <v>-7.4125049154542003E-2</v>
      </c>
    </row>
    <row r="138" spans="1:8" x14ac:dyDescent="0.25">
      <c r="A138" s="2" t="s">
        <v>97</v>
      </c>
      <c r="B138" s="2" t="s">
        <v>98</v>
      </c>
      <c r="C138" s="2">
        <v>9</v>
      </c>
      <c r="D138" s="2">
        <v>0</v>
      </c>
      <c r="E138" s="8">
        <v>-0.11367514139238601</v>
      </c>
      <c r="F138" s="8">
        <v>0.225935285528298</v>
      </c>
      <c r="G138" s="2">
        <v>-8.1666666664459445E-2</v>
      </c>
      <c r="H138" s="2">
        <v>-8.6854958589934153E-2</v>
      </c>
    </row>
    <row r="139" spans="1:8" x14ac:dyDescent="0.25">
      <c r="A139" s="2" t="s">
        <v>97</v>
      </c>
      <c r="B139" s="2" t="s">
        <v>98</v>
      </c>
      <c r="C139" s="2">
        <v>10</v>
      </c>
      <c r="D139" s="2">
        <v>0</v>
      </c>
      <c r="E139" s="8">
        <v>1.45246373237426E-2</v>
      </c>
      <c r="F139" s="8">
        <v>0.103455020064134</v>
      </c>
      <c r="G139" s="2">
        <v>4.9001814878137886E-2</v>
      </c>
      <c r="H139" s="2">
        <v>3.2093023255813903E-2</v>
      </c>
    </row>
    <row r="140" spans="1:8" x14ac:dyDescent="0.25">
      <c r="A140" s="2" t="s">
        <v>99</v>
      </c>
      <c r="B140" s="2" t="s">
        <v>100</v>
      </c>
      <c r="C140" s="2">
        <v>8</v>
      </c>
      <c r="D140" s="2">
        <v>0</v>
      </c>
      <c r="E140" s="8">
        <v>-0.17078777383115401</v>
      </c>
      <c r="F140" s="8">
        <v>0.295881250311192</v>
      </c>
      <c r="G140" s="2">
        <v>-7.1080817911903738E-2</v>
      </c>
      <c r="H140" s="2">
        <v>-0.10109642050951304</v>
      </c>
    </row>
    <row r="141" spans="1:8" x14ac:dyDescent="0.25">
      <c r="A141" s="2" t="s">
        <v>99</v>
      </c>
      <c r="B141" s="2" t="s">
        <v>100</v>
      </c>
      <c r="C141" s="2">
        <v>9</v>
      </c>
      <c r="D141" s="2">
        <v>0</v>
      </c>
      <c r="E141" s="8">
        <v>-9.2805120428025606E-2</v>
      </c>
      <c r="F141" s="8">
        <v>0.21273166643629299</v>
      </c>
      <c r="G141" s="2">
        <v>-6.0796645706883971E-2</v>
      </c>
      <c r="H141" s="2">
        <v>-5.2556053811659183E-2</v>
      </c>
    </row>
    <row r="142" spans="1:8" x14ac:dyDescent="0.25">
      <c r="A142" s="2" t="s">
        <v>99</v>
      </c>
      <c r="B142" s="2" t="s">
        <v>100</v>
      </c>
      <c r="C142" s="2">
        <v>10</v>
      </c>
      <c r="D142" s="2">
        <v>1</v>
      </c>
      <c r="E142" s="8">
        <v>5.9157366776685198E-2</v>
      </c>
      <c r="F142" s="8">
        <v>0.19225825156314499</v>
      </c>
      <c r="G142" s="2">
        <v>7.9243148117279311E-2</v>
      </c>
      <c r="H142" s="2">
        <v>8.879212419538042E-2</v>
      </c>
    </row>
    <row r="143" spans="1:8" x14ac:dyDescent="0.25">
      <c r="A143" s="2" t="s">
        <v>101</v>
      </c>
      <c r="B143" s="2" t="s">
        <v>102</v>
      </c>
      <c r="C143" s="2">
        <v>8</v>
      </c>
      <c r="D143" s="2">
        <v>0</v>
      </c>
      <c r="E143" s="8">
        <v>-6.1018772428536601E-2</v>
      </c>
      <c r="F143" s="8">
        <v>0.367073367520523</v>
      </c>
      <c r="G143" s="2">
        <v>3.8531443111518557E-2</v>
      </c>
      <c r="H143" s="2">
        <v>-3.3329531846952219E-2</v>
      </c>
    </row>
    <row r="144" spans="1:8" x14ac:dyDescent="0.25">
      <c r="A144" s="2" t="s">
        <v>101</v>
      </c>
      <c r="B144" s="2" t="s">
        <v>102</v>
      </c>
      <c r="C144" s="2">
        <v>9</v>
      </c>
      <c r="D144" s="2">
        <v>0</v>
      </c>
      <c r="E144" s="8">
        <v>-7.7160732338600296E-2</v>
      </c>
      <c r="F144" s="8">
        <v>0.49035105367905302</v>
      </c>
      <c r="G144" s="2">
        <v>-4.5152257610548717E-2</v>
      </c>
      <c r="H144" s="2">
        <v>-4.5833947795310359E-2</v>
      </c>
    </row>
    <row r="145" spans="1:8" x14ac:dyDescent="0.25">
      <c r="A145" s="2" t="s">
        <v>101</v>
      </c>
      <c r="B145" s="2" t="s">
        <v>102</v>
      </c>
      <c r="C145" s="2">
        <v>10</v>
      </c>
      <c r="D145" s="2">
        <v>0</v>
      </c>
      <c r="E145" s="8">
        <v>4.7709769568276402E-3</v>
      </c>
      <c r="F145" s="8">
        <v>0.18731265149947601</v>
      </c>
      <c r="G145" s="2">
        <v>0</v>
      </c>
      <c r="H145" s="2">
        <v>7.1095174801396211E-4</v>
      </c>
    </row>
    <row r="146" spans="1:8" x14ac:dyDescent="0.25">
      <c r="A146" s="2" t="s">
        <v>103</v>
      </c>
      <c r="B146" s="2" t="s">
        <v>104</v>
      </c>
      <c r="C146" s="2">
        <v>8</v>
      </c>
      <c r="D146" s="2">
        <v>0</v>
      </c>
      <c r="E146" s="8">
        <v>-5.1074285116878698E-2</v>
      </c>
      <c r="F146" s="8">
        <v>0.15757991170015501</v>
      </c>
      <c r="G146" s="2">
        <v>6.7137809187310368E-2</v>
      </c>
      <c r="H146" s="2">
        <v>6.7148321291967697E-2</v>
      </c>
    </row>
    <row r="147" spans="1:8" x14ac:dyDescent="0.25">
      <c r="A147" s="2" t="s">
        <v>103</v>
      </c>
      <c r="B147" s="2" t="s">
        <v>104</v>
      </c>
      <c r="C147" s="2">
        <v>9</v>
      </c>
      <c r="D147" s="2">
        <v>1</v>
      </c>
      <c r="E147" s="8">
        <v>-8.0021719758832294E-2</v>
      </c>
      <c r="F147" s="8">
        <v>0.15727729393064699</v>
      </c>
      <c r="G147" s="2">
        <v>-4.801324503353261E-2</v>
      </c>
      <c r="H147" s="2">
        <v>-4.3807248108323267E-2</v>
      </c>
    </row>
    <row r="148" spans="1:8" x14ac:dyDescent="0.25">
      <c r="A148" s="2" t="s">
        <v>103</v>
      </c>
      <c r="B148" s="2" t="s">
        <v>104</v>
      </c>
      <c r="C148" s="2">
        <v>10</v>
      </c>
      <c r="D148" s="2">
        <v>0</v>
      </c>
      <c r="E148" s="8">
        <v>5.5810623995200599E-6</v>
      </c>
      <c r="F148" s="8">
        <v>0.150036760201508</v>
      </c>
      <c r="G148" s="2">
        <v>4.1739130434666843E-2</v>
      </c>
      <c r="H148" s="2">
        <v>1.0134666111342458E-2</v>
      </c>
    </row>
    <row r="149" spans="1:8" x14ac:dyDescent="0.25">
      <c r="A149" s="2" t="s">
        <v>105</v>
      </c>
      <c r="B149" s="2" t="s">
        <v>106</v>
      </c>
      <c r="C149" s="2">
        <v>8</v>
      </c>
      <c r="D149" s="2">
        <v>0</v>
      </c>
      <c r="E149" s="8">
        <v>1.2934299523192999E-2</v>
      </c>
      <c r="F149" s="8">
        <v>5.3047362036651897</v>
      </c>
      <c r="G149" s="2">
        <v>0.11482203803371083</v>
      </c>
      <c r="H149" s="2">
        <v>0.28844023485100273</v>
      </c>
    </row>
    <row r="150" spans="1:8" x14ac:dyDescent="0.25">
      <c r="A150" s="2" t="s">
        <v>105</v>
      </c>
      <c r="B150" s="2" t="s">
        <v>106</v>
      </c>
      <c r="C150" s="2">
        <v>9</v>
      </c>
      <c r="D150" s="2">
        <v>0</v>
      </c>
      <c r="E150" s="8">
        <v>-7.0422353288297199E-2</v>
      </c>
      <c r="F150" s="8">
        <v>3.5921811736625502</v>
      </c>
      <c r="G150" s="2">
        <v>-3.8413878563436518E-2</v>
      </c>
      <c r="H150" s="2">
        <v>1.4680910517378458E-2</v>
      </c>
    </row>
    <row r="151" spans="1:8" x14ac:dyDescent="0.25">
      <c r="A151" s="2" t="s">
        <v>105</v>
      </c>
      <c r="B151" s="2" t="s">
        <v>106</v>
      </c>
      <c r="C151" s="2">
        <v>10</v>
      </c>
      <c r="D151" s="2">
        <v>0</v>
      </c>
      <c r="E151" s="8">
        <v>1.9866102590598501E-2</v>
      </c>
      <c r="F151" s="8">
        <v>2.9480916060473801</v>
      </c>
      <c r="G151" s="2">
        <v>-1.2734990903356145E-2</v>
      </c>
      <c r="H151" s="2">
        <v>2.0844807863407155E-2</v>
      </c>
    </row>
    <row r="152" spans="1:8" x14ac:dyDescent="0.25">
      <c r="A152" s="2" t="s">
        <v>107</v>
      </c>
      <c r="B152" s="2" t="s">
        <v>108</v>
      </c>
      <c r="C152" s="2">
        <v>8</v>
      </c>
      <c r="D152" s="2">
        <v>0</v>
      </c>
      <c r="E152" s="8">
        <v>-2.2042335374509898E-2</v>
      </c>
      <c r="F152" s="8">
        <v>0.83620514685036995</v>
      </c>
      <c r="G152" s="2">
        <v>9.2741935483668339E-2</v>
      </c>
      <c r="H152" s="2">
        <v>0.11503682297007548</v>
      </c>
    </row>
    <row r="153" spans="1:8" x14ac:dyDescent="0.25">
      <c r="A153" s="2" t="s">
        <v>107</v>
      </c>
      <c r="B153" s="2" t="s">
        <v>108</v>
      </c>
      <c r="C153" s="2">
        <v>9</v>
      </c>
      <c r="D153" s="2">
        <v>0</v>
      </c>
      <c r="E153" s="8">
        <v>-2.7857183212804601E-2</v>
      </c>
      <c r="F153" s="8">
        <v>0.68757636333083405</v>
      </c>
      <c r="G153" s="2">
        <v>4.1025155537960031E-3</v>
      </c>
      <c r="H153" s="2">
        <v>-0.10475712733049074</v>
      </c>
    </row>
    <row r="154" spans="1:8" x14ac:dyDescent="0.25">
      <c r="A154" s="2" t="s">
        <v>107</v>
      </c>
      <c r="B154" s="2" t="s">
        <v>108</v>
      </c>
      <c r="C154" s="2">
        <v>10</v>
      </c>
      <c r="D154" s="2">
        <v>0</v>
      </c>
      <c r="E154" s="8">
        <v>-2.2911575687442902E-3</v>
      </c>
      <c r="F154" s="8">
        <v>0.524143559140274</v>
      </c>
      <c r="G154" s="2">
        <v>1.3780431808251125E-3</v>
      </c>
      <c r="H154" s="2">
        <v>0.10160627568173329</v>
      </c>
    </row>
    <row r="155" spans="1:8" x14ac:dyDescent="0.25">
      <c r="A155" s="2" t="s">
        <v>109</v>
      </c>
      <c r="B155" s="2" t="s">
        <v>110</v>
      </c>
      <c r="C155" s="2">
        <v>8</v>
      </c>
      <c r="D155" s="2">
        <v>1</v>
      </c>
      <c r="E155" s="8">
        <v>5.9135755598979404E-3</v>
      </c>
      <c r="F155" s="8">
        <v>0.91178736034022201</v>
      </c>
      <c r="G155" s="2">
        <v>7.0766059771153508E-2</v>
      </c>
      <c r="H155" s="2">
        <v>2.8146485197137725E-2</v>
      </c>
    </row>
    <row r="156" spans="1:8" x14ac:dyDescent="0.25">
      <c r="A156" s="2" t="s">
        <v>109</v>
      </c>
      <c r="B156" s="2" t="s">
        <v>110</v>
      </c>
      <c r="C156" s="2">
        <v>9</v>
      </c>
      <c r="D156" s="2">
        <v>1</v>
      </c>
      <c r="E156" s="8">
        <v>-2.07797291370127E-2</v>
      </c>
      <c r="F156" s="8">
        <v>0.53868707635673396</v>
      </c>
      <c r="G156" s="2">
        <v>3.7455314811412504E-3</v>
      </c>
      <c r="H156" s="2">
        <v>2.238113434139414E-3</v>
      </c>
    </row>
    <row r="157" spans="1:8" x14ac:dyDescent="0.25">
      <c r="A157" s="2" t="s">
        <v>109</v>
      </c>
      <c r="B157" s="2" t="s">
        <v>110</v>
      </c>
      <c r="C157" s="2">
        <v>10</v>
      </c>
      <c r="D157" s="2">
        <v>2</v>
      </c>
      <c r="E157" s="8">
        <v>4.28355303009781E-2</v>
      </c>
      <c r="F157" s="8">
        <v>0.454883630884933</v>
      </c>
      <c r="G157" s="2">
        <v>5.6154822336756283E-2</v>
      </c>
      <c r="H157" s="2">
        <v>0.11187363834422646</v>
      </c>
    </row>
    <row r="158" spans="1:8" x14ac:dyDescent="0.25">
      <c r="A158" s="2" t="s">
        <v>111</v>
      </c>
      <c r="B158" s="2" t="s">
        <v>112</v>
      </c>
      <c r="C158" s="2">
        <v>8</v>
      </c>
      <c r="D158" s="2">
        <v>0</v>
      </c>
      <c r="E158" s="8">
        <v>-3.9906257658352498E-2</v>
      </c>
      <c r="F158" s="8">
        <v>0.18704468526454901</v>
      </c>
      <c r="G158" s="2">
        <v>7.1428571426853632E-2</v>
      </c>
      <c r="H158" s="2">
        <v>4.5970149253731364E-2</v>
      </c>
    </row>
    <row r="159" spans="1:8" x14ac:dyDescent="0.25">
      <c r="A159" s="2" t="s">
        <v>111</v>
      </c>
      <c r="B159" s="2" t="s">
        <v>112</v>
      </c>
      <c r="C159" s="2">
        <v>9</v>
      </c>
      <c r="D159" s="2">
        <v>0</v>
      </c>
      <c r="E159" s="8">
        <v>-6.7096194023965397E-2</v>
      </c>
      <c r="F159" s="8">
        <v>0.119552737914517</v>
      </c>
      <c r="G159" s="2">
        <v>-3.508771929598125E-2</v>
      </c>
      <c r="H159" s="2">
        <v>-5.0894216133942051E-2</v>
      </c>
    </row>
    <row r="160" spans="1:8" x14ac:dyDescent="0.25">
      <c r="A160" s="2" t="s">
        <v>111</v>
      </c>
      <c r="B160" s="2" t="s">
        <v>112</v>
      </c>
      <c r="C160" s="2">
        <v>10</v>
      </c>
      <c r="D160" s="2">
        <v>1</v>
      </c>
      <c r="E160" s="8">
        <v>-1.4539873483055001E-2</v>
      </c>
      <c r="F160" s="8">
        <v>4.4457514418096797E-2</v>
      </c>
      <c r="G160" s="2">
        <v>-1.2727272727875607E-2</v>
      </c>
      <c r="H160" s="2">
        <v>1.0123283552169989E-2</v>
      </c>
    </row>
    <row r="161" spans="1:8" x14ac:dyDescent="0.25">
      <c r="A161" s="2" t="s">
        <v>113</v>
      </c>
      <c r="B161" s="2" t="s">
        <v>114</v>
      </c>
      <c r="C161" s="2">
        <v>8</v>
      </c>
      <c r="D161" s="2">
        <v>11</v>
      </c>
      <c r="E161" s="8">
        <v>-5.0397917008659601E-2</v>
      </c>
      <c r="F161" s="8">
        <v>1.6810215148335601</v>
      </c>
      <c r="G161" s="2">
        <v>8.0247920404293266E-2</v>
      </c>
      <c r="H161" s="2">
        <v>6.5484794376895319E-2</v>
      </c>
    </row>
    <row r="162" spans="1:8" x14ac:dyDescent="0.25">
      <c r="A162" s="2" t="s">
        <v>113</v>
      </c>
      <c r="B162" s="2" t="s">
        <v>114</v>
      </c>
      <c r="C162" s="2">
        <v>9</v>
      </c>
      <c r="D162" s="2">
        <v>20</v>
      </c>
      <c r="E162" s="8">
        <v>4.8317661466338202E-2</v>
      </c>
      <c r="F162" s="8">
        <v>1.34079546073682</v>
      </c>
      <c r="G162" s="2">
        <v>8.0326136192789527E-2</v>
      </c>
      <c r="H162" s="2">
        <v>5.813504994214426E-2</v>
      </c>
    </row>
    <row r="163" spans="1:8" x14ac:dyDescent="0.25">
      <c r="A163" s="2" t="s">
        <v>113</v>
      </c>
      <c r="B163" s="2" t="s">
        <v>114</v>
      </c>
      <c r="C163" s="2">
        <v>10</v>
      </c>
      <c r="D163" s="2">
        <v>10</v>
      </c>
      <c r="E163" s="8">
        <v>-0.103418597833477</v>
      </c>
      <c r="F163" s="8">
        <v>1.96745730202567</v>
      </c>
      <c r="G163" s="2">
        <v>-8.4556254368153408E-2</v>
      </c>
      <c r="H163" s="2">
        <v>-6.5348550742854242E-2</v>
      </c>
    </row>
    <row r="164" spans="1:8" x14ac:dyDescent="0.25">
      <c r="A164" s="2" t="s">
        <v>115</v>
      </c>
      <c r="B164" s="2" t="s">
        <v>116</v>
      </c>
      <c r="C164" s="2">
        <v>8</v>
      </c>
      <c r="D164" s="2">
        <v>0</v>
      </c>
      <c r="E164" s="8">
        <v>-0.13469797849667001</v>
      </c>
      <c r="F164" s="8">
        <v>0.341011799823771</v>
      </c>
      <c r="G164" s="2">
        <v>-4.7945205484859116E-2</v>
      </c>
      <c r="H164" s="2">
        <v>-9.2501175364362948E-2</v>
      </c>
    </row>
    <row r="165" spans="1:8" x14ac:dyDescent="0.25">
      <c r="A165" s="2" t="s">
        <v>115</v>
      </c>
      <c r="B165" s="2" t="s">
        <v>116</v>
      </c>
      <c r="C165" s="2">
        <v>9</v>
      </c>
      <c r="D165" s="2">
        <v>0</v>
      </c>
      <c r="E165" s="8">
        <v>-4.9094805660971498E-2</v>
      </c>
      <c r="F165" s="8">
        <v>0.244026469361251</v>
      </c>
      <c r="G165" s="2">
        <v>-1.7086330931300988E-2</v>
      </c>
      <c r="H165" s="2">
        <v>1.2692656391659151E-2</v>
      </c>
    </row>
    <row r="166" spans="1:8" x14ac:dyDescent="0.25">
      <c r="A166" s="2" t="s">
        <v>115</v>
      </c>
      <c r="B166" s="2" t="s">
        <v>116</v>
      </c>
      <c r="C166" s="2">
        <v>10</v>
      </c>
      <c r="D166" s="2">
        <v>0</v>
      </c>
      <c r="E166" s="8">
        <v>3.4772278226168997E-2</v>
      </c>
      <c r="F166" s="8">
        <v>0.264137052215211</v>
      </c>
      <c r="G166" s="2">
        <v>4.1171088744673394E-2</v>
      </c>
      <c r="H166" s="2">
        <v>1.0615168180074144E-2</v>
      </c>
    </row>
    <row r="167" spans="1:8" x14ac:dyDescent="0.25">
      <c r="A167" s="2" t="s">
        <v>117</v>
      </c>
      <c r="B167" s="2" t="s">
        <v>118</v>
      </c>
      <c r="C167" s="2">
        <v>8</v>
      </c>
      <c r="D167" s="2">
        <v>0</v>
      </c>
      <c r="E167" s="8">
        <v>2.5264258476059301E-2</v>
      </c>
      <c r="F167" s="8">
        <v>8.9263036129450697</v>
      </c>
      <c r="G167" s="2">
        <v>0.12917109160839452</v>
      </c>
      <c r="H167" s="2">
        <v>7.0381505771657416E-2</v>
      </c>
    </row>
    <row r="168" spans="1:8" x14ac:dyDescent="0.25">
      <c r="A168" s="2" t="s">
        <v>117</v>
      </c>
      <c r="B168" s="2" t="s">
        <v>118</v>
      </c>
      <c r="C168" s="2">
        <v>9</v>
      </c>
      <c r="D168" s="2">
        <v>0</v>
      </c>
      <c r="E168" s="8">
        <v>-7.1658014375259496E-2</v>
      </c>
      <c r="F168" s="8">
        <v>5.4877106503366502</v>
      </c>
      <c r="G168" s="2">
        <v>-3.9649539648717806E-2</v>
      </c>
      <c r="H168" s="2">
        <v>-5.376140647057976E-2</v>
      </c>
    </row>
    <row r="169" spans="1:8" x14ac:dyDescent="0.25">
      <c r="A169" s="2" t="s">
        <v>117</v>
      </c>
      <c r="B169" s="2" t="s">
        <v>118</v>
      </c>
      <c r="C169" s="2">
        <v>10</v>
      </c>
      <c r="D169" s="2">
        <v>0</v>
      </c>
      <c r="E169" s="8">
        <v>-1.8086269873119201E-2</v>
      </c>
      <c r="F169" s="8">
        <v>3.7370016882050101</v>
      </c>
      <c r="G169" s="2">
        <v>-4.9636616669881513E-2</v>
      </c>
      <c r="H169" s="2">
        <v>-3.5467646923112404E-2</v>
      </c>
    </row>
    <row r="170" spans="1:8" x14ac:dyDescent="0.25">
      <c r="A170" s="2" t="s">
        <v>119</v>
      </c>
      <c r="B170" s="2" t="s">
        <v>120</v>
      </c>
      <c r="C170" s="2">
        <v>8</v>
      </c>
      <c r="D170" s="2">
        <v>0</v>
      </c>
      <c r="E170" s="8">
        <v>-6.5450054237028696E-2</v>
      </c>
      <c r="F170" s="8">
        <v>0.191587354190495</v>
      </c>
      <c r="G170" s="2">
        <v>4.9247606020742941E-2</v>
      </c>
      <c r="H170" s="2">
        <v>9.7499182739457305E-2</v>
      </c>
    </row>
    <row r="171" spans="1:8" x14ac:dyDescent="0.25">
      <c r="A171" s="2" t="s">
        <v>119</v>
      </c>
      <c r="B171" s="2" t="s">
        <v>120</v>
      </c>
      <c r="C171" s="2">
        <v>9</v>
      </c>
      <c r="D171" s="2">
        <v>2</v>
      </c>
      <c r="E171" s="8">
        <v>-5.8084094021678002E-2</v>
      </c>
      <c r="F171" s="8">
        <v>0.117022956270863</v>
      </c>
      <c r="G171" s="2">
        <v>-2.6075619297770643E-2</v>
      </c>
      <c r="H171" s="2">
        <v>-4.5573013627224608E-2</v>
      </c>
    </row>
    <row r="172" spans="1:8" x14ac:dyDescent="0.25">
      <c r="A172" s="2" t="s">
        <v>119</v>
      </c>
      <c r="B172" s="2" t="s">
        <v>120</v>
      </c>
      <c r="C172" s="2">
        <v>10</v>
      </c>
      <c r="D172" s="2">
        <v>2</v>
      </c>
      <c r="E172" s="8">
        <v>2.6779342775920301E-2</v>
      </c>
      <c r="F172" s="8">
        <v>0.143445008934557</v>
      </c>
      <c r="G172" s="2">
        <v>6.559571619767611E-2</v>
      </c>
      <c r="H172" s="2">
        <v>8.7383943200436826E-2</v>
      </c>
    </row>
    <row r="173" spans="1:8" x14ac:dyDescent="0.25">
      <c r="A173" s="2" t="s">
        <v>121</v>
      </c>
      <c r="B173" s="2" t="s">
        <v>122</v>
      </c>
      <c r="C173" s="2">
        <v>8</v>
      </c>
      <c r="D173" s="2">
        <v>4</v>
      </c>
      <c r="E173" s="8">
        <v>0.22182859389316401</v>
      </c>
      <c r="F173" s="8">
        <v>5.1178546472595503</v>
      </c>
      <c r="G173" s="2">
        <v>0.34041297935178572</v>
      </c>
      <c r="H173" s="2">
        <v>0.24178032408397093</v>
      </c>
    </row>
    <row r="174" spans="1:8" x14ac:dyDescent="0.25">
      <c r="A174" s="2" t="s">
        <v>121</v>
      </c>
      <c r="B174" s="2" t="s">
        <v>122</v>
      </c>
      <c r="C174" s="2">
        <v>9</v>
      </c>
      <c r="D174" s="2">
        <v>0</v>
      </c>
      <c r="E174" s="8">
        <v>-2.7607066275015399E-2</v>
      </c>
      <c r="F174" s="8">
        <v>1.75869398857634</v>
      </c>
      <c r="G174" s="2">
        <v>4.40140845347021E-3</v>
      </c>
      <c r="H174" s="2">
        <v>-2.134692191158237E-2</v>
      </c>
    </row>
    <row r="175" spans="1:8" x14ac:dyDescent="0.25">
      <c r="A175" s="2" t="s">
        <v>121</v>
      </c>
      <c r="B175" s="2" t="s">
        <v>122</v>
      </c>
      <c r="C175" s="2">
        <v>10</v>
      </c>
      <c r="D175" s="2">
        <v>6</v>
      </c>
      <c r="E175" s="8">
        <v>-4.7759537254866001E-2</v>
      </c>
      <c r="F175" s="8">
        <v>2.7929713515516501</v>
      </c>
      <c r="G175" s="2">
        <v>9.2243645923255527E-2</v>
      </c>
      <c r="H175" s="2">
        <v>0.12098930481283425</v>
      </c>
    </row>
    <row r="176" spans="1:8" x14ac:dyDescent="0.25">
      <c r="A176" s="2" t="s">
        <v>123</v>
      </c>
      <c r="B176" s="2" t="s">
        <v>124</v>
      </c>
      <c r="C176" s="2">
        <v>8</v>
      </c>
      <c r="D176" s="2">
        <v>0</v>
      </c>
      <c r="E176" s="8">
        <v>-0.17000576014591501</v>
      </c>
      <c r="F176" s="8">
        <v>0.101216411242258</v>
      </c>
      <c r="G176" s="2">
        <v>-6.6666666664716406E-2</v>
      </c>
      <c r="H176" s="2">
        <v>-6.6706491437674181E-2</v>
      </c>
    </row>
    <row r="177" spans="1:8" x14ac:dyDescent="0.25">
      <c r="A177" s="2" t="s">
        <v>123</v>
      </c>
      <c r="B177" s="2" t="s">
        <v>124</v>
      </c>
      <c r="C177" s="2">
        <v>9</v>
      </c>
      <c r="D177" s="2">
        <v>0</v>
      </c>
      <c r="E177" s="8">
        <v>-0.14311958583683099</v>
      </c>
      <c r="F177" s="8">
        <v>0.13119167432141199</v>
      </c>
      <c r="G177" s="2">
        <v>-0.11111111111260359</v>
      </c>
      <c r="H177" s="2">
        <v>-0.10774482611478556</v>
      </c>
    </row>
    <row r="178" spans="1:8" x14ac:dyDescent="0.25">
      <c r="A178" s="2" t="s">
        <v>123</v>
      </c>
      <c r="B178" s="2" t="s">
        <v>124</v>
      </c>
      <c r="C178" s="2">
        <v>10</v>
      </c>
      <c r="D178" s="2">
        <v>0</v>
      </c>
      <c r="E178" s="8">
        <v>-5.9467998899814401E-3</v>
      </c>
      <c r="F178" s="8">
        <v>6.5203301973406902E-2</v>
      </c>
      <c r="G178" s="2">
        <v>5.0595238093364213E-2</v>
      </c>
      <c r="H178" s="2">
        <v>2.9172644667623118E-2</v>
      </c>
    </row>
    <row r="179" spans="1:8" x14ac:dyDescent="0.25">
      <c r="A179" s="2" t="s">
        <v>125</v>
      </c>
      <c r="B179" s="2" t="s">
        <v>126</v>
      </c>
      <c r="C179" s="2">
        <v>8</v>
      </c>
      <c r="D179" s="2">
        <v>0</v>
      </c>
      <c r="E179" s="8">
        <v>-0.13442605000098701</v>
      </c>
      <c r="F179" s="8">
        <v>0.98964375504762303</v>
      </c>
      <c r="G179" s="2">
        <v>-3.9091689675277694E-2</v>
      </c>
      <c r="H179" s="2">
        <v>-4.1323654649418104E-2</v>
      </c>
    </row>
    <row r="180" spans="1:8" x14ac:dyDescent="0.25">
      <c r="A180" s="2" t="s">
        <v>125</v>
      </c>
      <c r="B180" s="2" t="s">
        <v>126</v>
      </c>
      <c r="C180" s="2">
        <v>9</v>
      </c>
      <c r="D180" s="2">
        <v>1</v>
      </c>
      <c r="E180" s="8">
        <v>-0.12713972893258499</v>
      </c>
      <c r="F180" s="8">
        <v>0.89868783614769499</v>
      </c>
      <c r="G180" s="2">
        <v>-9.5129683075251159E-2</v>
      </c>
      <c r="H180" s="2">
        <v>-7.851099830795262E-2</v>
      </c>
    </row>
    <row r="181" spans="1:8" x14ac:dyDescent="0.25">
      <c r="A181" s="2" t="s">
        <v>125</v>
      </c>
      <c r="B181" s="2" t="s">
        <v>126</v>
      </c>
      <c r="C181" s="2">
        <v>10</v>
      </c>
      <c r="D181" s="2">
        <v>0</v>
      </c>
      <c r="E181" s="8">
        <v>5.5810623995200599E-6</v>
      </c>
      <c r="F181" s="8">
        <v>0.38802194449768401</v>
      </c>
      <c r="G181" s="2">
        <v>-1.1157946937515793E-2</v>
      </c>
      <c r="H181" s="2">
        <v>-4.7282409107601798E-3</v>
      </c>
    </row>
    <row r="182" spans="1:8" x14ac:dyDescent="0.25">
      <c r="A182" s="2" t="s">
        <v>127</v>
      </c>
      <c r="B182" s="2" t="s">
        <v>128</v>
      </c>
      <c r="C182" s="2">
        <v>8</v>
      </c>
      <c r="D182" s="2">
        <v>0</v>
      </c>
      <c r="E182" s="8">
        <v>0.52765212935058503</v>
      </c>
      <c r="F182" s="8">
        <v>49.811949469981599</v>
      </c>
      <c r="G182" s="2">
        <v>0.68504011774383966</v>
      </c>
      <c r="H182" s="2">
        <v>0.49986548291633021</v>
      </c>
    </row>
    <row r="183" spans="1:8" x14ac:dyDescent="0.25">
      <c r="A183" s="2" t="s">
        <v>127</v>
      </c>
      <c r="B183" s="2" t="s">
        <v>128</v>
      </c>
      <c r="C183" s="2">
        <v>9</v>
      </c>
      <c r="D183" s="2">
        <v>1</v>
      </c>
      <c r="E183" s="8">
        <v>0.10537459751591199</v>
      </c>
      <c r="F183" s="8">
        <v>21.879240318768101</v>
      </c>
      <c r="G183" s="2">
        <v>0.13738307224213522</v>
      </c>
      <c r="H183" s="2">
        <v>0.16561261391581089</v>
      </c>
    </row>
    <row r="184" spans="1:8" x14ac:dyDescent="0.25">
      <c r="A184" s="2" t="s">
        <v>127</v>
      </c>
      <c r="B184" s="2" t="s">
        <v>128</v>
      </c>
      <c r="C184" s="2">
        <v>10</v>
      </c>
      <c r="D184" s="2">
        <v>1</v>
      </c>
      <c r="E184" s="8">
        <v>0.17175052755467099</v>
      </c>
      <c r="F184" s="8">
        <v>61.666441226403002</v>
      </c>
      <c r="G184" s="2">
        <v>0.22374157748744589</v>
      </c>
      <c r="H184" s="2">
        <v>0.21781907896369757</v>
      </c>
    </row>
    <row r="185" spans="1:8" x14ac:dyDescent="0.25">
      <c r="A185" s="2" t="s">
        <v>129</v>
      </c>
      <c r="B185" s="2" t="s">
        <v>130</v>
      </c>
      <c r="C185" s="2">
        <v>8</v>
      </c>
      <c r="D185" s="2">
        <v>0</v>
      </c>
      <c r="E185" s="8">
        <v>-0.114554046750276</v>
      </c>
      <c r="F185" s="8">
        <v>0.20495063284791801</v>
      </c>
      <c r="G185" s="2">
        <v>-2.3985239846387625E-2</v>
      </c>
      <c r="H185" s="2">
        <v>-6.2663732578853687E-2</v>
      </c>
    </row>
    <row r="186" spans="1:8" x14ac:dyDescent="0.25">
      <c r="A186" s="2" t="s">
        <v>129</v>
      </c>
      <c r="B186" s="2" t="s">
        <v>130</v>
      </c>
      <c r="C186" s="2">
        <v>9</v>
      </c>
      <c r="D186" s="2">
        <v>0</v>
      </c>
      <c r="E186" s="8">
        <v>-6.9815658090558994E-2</v>
      </c>
      <c r="F186" s="8">
        <v>0.297021651520326</v>
      </c>
      <c r="G186" s="2">
        <v>-3.7807183366499034E-2</v>
      </c>
      <c r="H186" s="2">
        <v>-3.5215204024594715E-2</v>
      </c>
    </row>
    <row r="187" spans="1:8" x14ac:dyDescent="0.25">
      <c r="A187" s="2" t="s">
        <v>129</v>
      </c>
      <c r="B187" s="2" t="s">
        <v>130</v>
      </c>
      <c r="C187" s="2">
        <v>10</v>
      </c>
      <c r="D187" s="2">
        <v>0</v>
      </c>
      <c r="E187" s="8">
        <v>2.8165371501168299E-2</v>
      </c>
      <c r="F187" s="8">
        <v>0.373278401070679</v>
      </c>
      <c r="G187" s="2">
        <v>6.7452521279563304E-2</v>
      </c>
      <c r="H187" s="2">
        <v>6.4658169177288477E-2</v>
      </c>
    </row>
    <row r="188" spans="1:8" x14ac:dyDescent="0.25">
      <c r="A188" s="2" t="s">
        <v>131</v>
      </c>
      <c r="B188" s="2" t="s">
        <v>132</v>
      </c>
      <c r="C188" s="2">
        <v>8</v>
      </c>
      <c r="D188" s="2">
        <v>1</v>
      </c>
      <c r="E188" s="8">
        <v>-0.133806993370434</v>
      </c>
      <c r="F188" s="8">
        <v>7.9779457912183799E-2</v>
      </c>
      <c r="G188" s="2">
        <v>-2.7292576421844652E-2</v>
      </c>
      <c r="H188" s="2">
        <v>-6.0889250058045165E-2</v>
      </c>
    </row>
    <row r="189" spans="1:8" x14ac:dyDescent="0.25">
      <c r="A189" s="2" t="s">
        <v>131</v>
      </c>
      <c r="B189" s="2" t="s">
        <v>132</v>
      </c>
      <c r="C189" s="2">
        <v>9</v>
      </c>
      <c r="D189" s="2">
        <v>0</v>
      </c>
      <c r="E189" s="8">
        <v>-5.44551638390754E-2</v>
      </c>
      <c r="F189" s="8">
        <v>0.13142904197167701</v>
      </c>
      <c r="G189" s="2">
        <v>-2.2446689109032088E-2</v>
      </c>
      <c r="H189" s="2">
        <v>-3.1398726744545372E-2</v>
      </c>
    </row>
    <row r="190" spans="1:8" x14ac:dyDescent="0.25">
      <c r="A190" s="2" t="s">
        <v>131</v>
      </c>
      <c r="B190" s="2" t="s">
        <v>132</v>
      </c>
      <c r="C190" s="2">
        <v>10</v>
      </c>
      <c r="D190" s="2">
        <v>0</v>
      </c>
      <c r="E190" s="8">
        <v>3.10044329567737E-2</v>
      </c>
      <c r="F190" s="8">
        <v>0.16741108263264901</v>
      </c>
      <c r="G190" s="2">
        <v>4.3628013776485661E-2</v>
      </c>
      <c r="H190" s="2">
        <v>5.3283134452172885E-2</v>
      </c>
    </row>
    <row r="191" spans="1:8" x14ac:dyDescent="0.25">
      <c r="A191" s="2" t="s">
        <v>133</v>
      </c>
      <c r="B191" s="2" t="s">
        <v>134</v>
      </c>
      <c r="C191" s="2">
        <v>8</v>
      </c>
      <c r="D191" s="2">
        <v>0</v>
      </c>
      <c r="E191" s="8">
        <v>0.17889554339225999</v>
      </c>
      <c r="F191" s="8">
        <v>9.0873808107727108</v>
      </c>
      <c r="G191" s="2">
        <v>0.29984982161322127</v>
      </c>
      <c r="H191" s="2">
        <v>0.28858590784758587</v>
      </c>
    </row>
    <row r="192" spans="1:8" x14ac:dyDescent="0.25">
      <c r="A192" s="2" t="s">
        <v>133</v>
      </c>
      <c r="B192" s="2" t="s">
        <v>134</v>
      </c>
      <c r="C192" s="2">
        <v>9</v>
      </c>
      <c r="D192" s="2">
        <v>0</v>
      </c>
      <c r="E192" s="8">
        <v>0.18906158452837599</v>
      </c>
      <c r="F192" s="8">
        <v>12.6129964058242</v>
      </c>
      <c r="G192" s="2">
        <v>0.22304656795327066</v>
      </c>
      <c r="H192" s="2">
        <v>0.15272087015188177</v>
      </c>
    </row>
    <row r="193" spans="1:8" x14ac:dyDescent="0.25">
      <c r="A193" s="2" t="s">
        <v>133</v>
      </c>
      <c r="B193" s="2" t="s">
        <v>134</v>
      </c>
      <c r="C193" s="2">
        <v>10</v>
      </c>
      <c r="D193" s="2">
        <v>0</v>
      </c>
      <c r="E193" s="8">
        <v>-0.113817297693042</v>
      </c>
      <c r="F193" s="8">
        <v>4.7752379059920704</v>
      </c>
      <c r="G193" s="2">
        <v>-4.3218697230631681E-2</v>
      </c>
      <c r="H193" s="2">
        <v>1.3647005081939022E-2</v>
      </c>
    </row>
    <row r="194" spans="1:8" x14ac:dyDescent="0.25">
      <c r="A194" s="2" t="s">
        <v>136</v>
      </c>
      <c r="B194" s="2" t="s">
        <v>137</v>
      </c>
      <c r="C194" s="2">
        <v>8</v>
      </c>
      <c r="D194" s="2">
        <v>0</v>
      </c>
      <c r="E194" s="8">
        <v>7.9377561627568399E-3</v>
      </c>
      <c r="F194" s="8">
        <v>22.748496119837998</v>
      </c>
      <c r="G194" s="2">
        <v>0.12947240752370837</v>
      </c>
      <c r="H194" s="2">
        <v>7.2904583344573601E-2</v>
      </c>
    </row>
    <row r="195" spans="1:8" x14ac:dyDescent="0.25">
      <c r="A195" s="2" t="s">
        <v>136</v>
      </c>
      <c r="B195" s="2" t="s">
        <v>137</v>
      </c>
      <c r="C195" s="2">
        <v>9</v>
      </c>
      <c r="D195" s="2">
        <v>0</v>
      </c>
      <c r="E195" s="8">
        <v>0.18238078701924701</v>
      </c>
      <c r="F195" s="8">
        <v>36.0004244683971</v>
      </c>
      <c r="G195" s="2">
        <v>0.21857162622433532</v>
      </c>
      <c r="H195" s="2">
        <v>0.21975535245087555</v>
      </c>
    </row>
    <row r="196" spans="1:8" x14ac:dyDescent="0.25">
      <c r="A196" s="2" t="s">
        <v>136</v>
      </c>
      <c r="B196" s="2" t="s">
        <v>137</v>
      </c>
      <c r="C196" s="2">
        <v>10</v>
      </c>
      <c r="D196" s="2">
        <v>1</v>
      </c>
      <c r="E196" s="8">
        <v>-0.100158005461608</v>
      </c>
      <c r="F196" s="8">
        <v>16.0908723897962</v>
      </c>
      <c r="G196" s="2">
        <v>-8.3031214076723703E-2</v>
      </c>
      <c r="H196" s="2">
        <v>-8.3928553023509836E-2</v>
      </c>
    </row>
    <row r="197" spans="1:8" x14ac:dyDescent="0.25">
      <c r="A197" s="2" t="s">
        <v>138</v>
      </c>
      <c r="B197" s="2" t="s">
        <v>139</v>
      </c>
      <c r="C197" s="2">
        <v>8</v>
      </c>
      <c r="D197" s="2">
        <v>1</v>
      </c>
      <c r="E197" s="8">
        <v>-0.102678154946531</v>
      </c>
      <c r="F197" s="8">
        <v>0.193698341807687</v>
      </c>
      <c r="G197" s="2">
        <v>0</v>
      </c>
      <c r="H197" s="2">
        <v>0</v>
      </c>
    </row>
    <row r="198" spans="1:8" x14ac:dyDescent="0.25">
      <c r="A198" s="2" t="s">
        <v>138</v>
      </c>
      <c r="B198" s="2" t="s">
        <v>139</v>
      </c>
      <c r="C198" s="2">
        <v>9</v>
      </c>
      <c r="D198" s="2">
        <v>4</v>
      </c>
      <c r="E198" s="8">
        <v>-0.10598469665438599</v>
      </c>
      <c r="F198" s="8">
        <v>0.35566169050832303</v>
      </c>
      <c r="G198" s="2">
        <v>-7.3976221924971761E-2</v>
      </c>
      <c r="H198" s="2">
        <v>-0.12288163318720144</v>
      </c>
    </row>
    <row r="199" spans="1:8" x14ac:dyDescent="0.25">
      <c r="A199" s="2" t="s">
        <v>138</v>
      </c>
      <c r="B199" s="2" t="s">
        <v>139</v>
      </c>
      <c r="C199" s="2">
        <v>10</v>
      </c>
      <c r="D199" s="2">
        <v>1</v>
      </c>
      <c r="E199" s="8">
        <v>6.7052656668676394E-2</v>
      </c>
      <c r="F199" s="8">
        <v>0.22411262924751801</v>
      </c>
      <c r="G199" s="2">
        <v>1.2595925053952527E-2</v>
      </c>
      <c r="H199" s="2">
        <v>6.8108914584110364E-2</v>
      </c>
    </row>
    <row r="200" spans="1:8" x14ac:dyDescent="0.25">
      <c r="A200" s="2" t="s">
        <v>140</v>
      </c>
      <c r="B200" s="2" t="s">
        <v>141</v>
      </c>
      <c r="C200" s="2">
        <v>8</v>
      </c>
      <c r="D200" s="2">
        <v>0</v>
      </c>
      <c r="E200" s="8">
        <v>9.79049606736975E-2</v>
      </c>
      <c r="F200" s="8">
        <v>4.15338043617714</v>
      </c>
      <c r="G200" s="2">
        <v>0.19577490438916414</v>
      </c>
      <c r="H200" s="2">
        <v>0.10794799686505929</v>
      </c>
    </row>
    <row r="201" spans="1:8" x14ac:dyDescent="0.25">
      <c r="A201" s="2" t="s">
        <v>140</v>
      </c>
      <c r="B201" s="2" t="s">
        <v>141</v>
      </c>
      <c r="C201" s="2">
        <v>9</v>
      </c>
      <c r="D201" s="2">
        <v>0</v>
      </c>
      <c r="E201" s="8">
        <v>8.6023812816162698E-2</v>
      </c>
      <c r="F201" s="8">
        <v>2.3584214491056699</v>
      </c>
      <c r="G201" s="2">
        <v>0.11803228754196492</v>
      </c>
      <c r="H201" s="2">
        <v>9.8387600124830984E-2</v>
      </c>
    </row>
    <row r="202" spans="1:8" x14ac:dyDescent="0.25">
      <c r="A202" s="2" t="s">
        <v>140</v>
      </c>
      <c r="B202" s="2" t="s">
        <v>141</v>
      </c>
      <c r="C202" s="2">
        <v>10</v>
      </c>
      <c r="D202" s="2">
        <v>0</v>
      </c>
      <c r="E202" s="8">
        <v>-8.0501161888152095E-2</v>
      </c>
      <c r="F202" s="8">
        <v>1.99530662541168</v>
      </c>
      <c r="G202" s="2">
        <v>-8.4184715980054906E-2</v>
      </c>
      <c r="H202" s="2">
        <v>3.2768875250976507E-3</v>
      </c>
    </row>
    <row r="203" spans="1:8" x14ac:dyDescent="0.25">
      <c r="A203" s="2" t="s">
        <v>142</v>
      </c>
      <c r="B203" s="2" t="s">
        <v>143</v>
      </c>
      <c r="C203" s="2">
        <v>8</v>
      </c>
      <c r="D203" s="2">
        <v>0</v>
      </c>
      <c r="E203" s="8">
        <v>-5.25014273902819E-2</v>
      </c>
      <c r="F203" s="8">
        <v>0.31752690174744602</v>
      </c>
      <c r="G203" s="2">
        <v>5.0837721046432555E-2</v>
      </c>
      <c r="H203" s="2">
        <v>4.1194242047272046E-2</v>
      </c>
    </row>
    <row r="204" spans="1:8" x14ac:dyDescent="0.25">
      <c r="A204" s="2" t="s">
        <v>142</v>
      </c>
      <c r="B204" s="2" t="s">
        <v>143</v>
      </c>
      <c r="C204" s="2">
        <v>9</v>
      </c>
      <c r="D204" s="2">
        <v>1</v>
      </c>
      <c r="E204" s="8">
        <v>-8.9188650500738494E-3</v>
      </c>
      <c r="F204" s="8">
        <v>0.67817251888289098</v>
      </c>
      <c r="G204" s="2">
        <v>2.3089609675555053E-2</v>
      </c>
      <c r="H204" s="2">
        <v>3.7379668191438578E-2</v>
      </c>
    </row>
    <row r="205" spans="1:8" x14ac:dyDescent="0.25">
      <c r="A205" s="2" t="s">
        <v>142</v>
      </c>
      <c r="B205" s="2" t="s">
        <v>143</v>
      </c>
      <c r="C205" s="2">
        <v>10</v>
      </c>
      <c r="D205" s="2">
        <v>2</v>
      </c>
      <c r="E205" s="8">
        <v>-2.47123125431889E-2</v>
      </c>
      <c r="F205" s="8">
        <v>0.317691581847033</v>
      </c>
      <c r="G205" s="2">
        <v>-3.2778023969874712E-2</v>
      </c>
      <c r="H205" s="2">
        <v>-8.4964954424298259E-2</v>
      </c>
    </row>
    <row r="206" spans="1:8" x14ac:dyDescent="0.25">
      <c r="A206" s="2" t="s">
        <v>144</v>
      </c>
      <c r="B206" s="2" t="s">
        <v>145</v>
      </c>
      <c r="C206" s="2">
        <v>8</v>
      </c>
      <c r="D206" s="2">
        <v>0</v>
      </c>
      <c r="E206" s="8">
        <v>-4.95032926717109E-2</v>
      </c>
      <c r="F206" s="8">
        <v>0.214510517002691</v>
      </c>
      <c r="G206" s="2">
        <v>5.9539918814762477E-2</v>
      </c>
      <c r="H206" s="2">
        <v>6.8193471201503972E-2</v>
      </c>
    </row>
    <row r="207" spans="1:8" x14ac:dyDescent="0.25">
      <c r="A207" s="2" t="s">
        <v>144</v>
      </c>
      <c r="B207" s="2" t="s">
        <v>145</v>
      </c>
      <c r="C207" s="2">
        <v>9</v>
      </c>
      <c r="D207" s="2">
        <v>0</v>
      </c>
      <c r="E207" s="8">
        <v>2.0354232809401601E-2</v>
      </c>
      <c r="F207" s="8">
        <v>0.207807040866681</v>
      </c>
      <c r="G207" s="2">
        <v>5.2362707535168918E-2</v>
      </c>
      <c r="H207" s="2">
        <v>-2.6826666666666672E-2</v>
      </c>
    </row>
    <row r="208" spans="1:8" x14ac:dyDescent="0.25">
      <c r="A208" s="2" t="s">
        <v>144</v>
      </c>
      <c r="B208" s="2" t="s">
        <v>145</v>
      </c>
      <c r="C208" s="2">
        <v>10</v>
      </c>
      <c r="D208" s="2">
        <v>1</v>
      </c>
      <c r="E208" s="8">
        <v>0.212384221839098</v>
      </c>
      <c r="F208" s="8">
        <v>0.57748312936905999</v>
      </c>
      <c r="G208" s="2">
        <v>0.12014563106616691</v>
      </c>
      <c r="H208" s="2">
        <v>0.24804077382583434</v>
      </c>
    </row>
    <row r="209" spans="1:8" x14ac:dyDescent="0.25">
      <c r="A209" s="2" t="s">
        <v>146</v>
      </c>
      <c r="B209" s="2" t="s">
        <v>147</v>
      </c>
      <c r="C209" s="2">
        <v>8</v>
      </c>
      <c r="D209" s="2">
        <v>2</v>
      </c>
      <c r="E209" s="8">
        <v>-0.105096562723536</v>
      </c>
      <c r="F209" s="8">
        <v>5.1911096162207002E-2</v>
      </c>
      <c r="G209" s="2">
        <v>1.7636684289772677E-3</v>
      </c>
      <c r="H209" s="2">
        <v>1.7459624618071212E-3</v>
      </c>
    </row>
    <row r="210" spans="1:8" x14ac:dyDescent="0.25">
      <c r="A210" s="2" t="s">
        <v>146</v>
      </c>
      <c r="B210" s="2" t="s">
        <v>147</v>
      </c>
      <c r="C210" s="2">
        <v>9</v>
      </c>
      <c r="D210" s="2">
        <v>1</v>
      </c>
      <c r="E210" s="8">
        <v>-6.1938052190508401E-2</v>
      </c>
      <c r="F210" s="8">
        <v>5.1782094215909298E-2</v>
      </c>
      <c r="G210" s="2">
        <v>-2.9929577463134988E-2</v>
      </c>
      <c r="H210" s="2">
        <v>-4.5098039215686267E-2</v>
      </c>
    </row>
    <row r="211" spans="1:8" x14ac:dyDescent="0.25">
      <c r="A211" s="2" t="s">
        <v>146</v>
      </c>
      <c r="B211" s="2" t="s">
        <v>147</v>
      </c>
      <c r="C211" s="2">
        <v>10</v>
      </c>
      <c r="D211" s="2">
        <v>0</v>
      </c>
      <c r="E211" s="8">
        <v>1.9969283421746201E-2</v>
      </c>
      <c r="F211" s="8">
        <v>7.24771769350228E-2</v>
      </c>
      <c r="G211" s="2">
        <v>3.6297640647406627E-2</v>
      </c>
      <c r="H211" s="2">
        <v>3.8101756787588391E-2</v>
      </c>
    </row>
    <row r="212" spans="1:8" x14ac:dyDescent="0.25">
      <c r="A212" s="2" t="s">
        <v>148</v>
      </c>
      <c r="B212" s="2" t="s">
        <v>149</v>
      </c>
      <c r="C212" s="2">
        <v>8</v>
      </c>
      <c r="D212" s="2">
        <v>0</v>
      </c>
      <c r="E212" s="8">
        <v>-4.8675101503320203E-2</v>
      </c>
      <c r="F212" s="8">
        <v>0.58681261712666699</v>
      </c>
      <c r="G212" s="2">
        <v>6.3121381376232785E-2</v>
      </c>
      <c r="H212" s="2">
        <v>3.9427444930144696E-2</v>
      </c>
    </row>
    <row r="213" spans="1:8" x14ac:dyDescent="0.25">
      <c r="A213" s="2" t="s">
        <v>148</v>
      </c>
      <c r="B213" s="2" t="s">
        <v>149</v>
      </c>
      <c r="C213" s="2">
        <v>9</v>
      </c>
      <c r="D213" s="2">
        <v>0</v>
      </c>
      <c r="E213" s="8">
        <v>7.3079494841564993E-2</v>
      </c>
      <c r="F213" s="8">
        <v>0.77925774984445595</v>
      </c>
      <c r="G213" s="2">
        <v>0.10508796956864018</v>
      </c>
      <c r="H213" s="2">
        <v>5.9412880349633199E-2</v>
      </c>
    </row>
    <row r="214" spans="1:8" x14ac:dyDescent="0.25">
      <c r="A214" s="2" t="s">
        <v>148</v>
      </c>
      <c r="B214" s="2" t="s">
        <v>149</v>
      </c>
      <c r="C214" s="2">
        <v>10</v>
      </c>
      <c r="D214" s="2">
        <v>1</v>
      </c>
      <c r="E214" s="8">
        <v>-4.7326604824003103E-2</v>
      </c>
      <c r="F214" s="8">
        <v>0.45509695153243601</v>
      </c>
      <c r="G214" s="2">
        <v>-1.4199655764845836E-2</v>
      </c>
      <c r="H214" s="2">
        <v>6.6199649737302857E-2</v>
      </c>
    </row>
    <row r="215" spans="1:8" x14ac:dyDescent="0.25">
      <c r="A215" s="2" t="s">
        <v>150</v>
      </c>
      <c r="B215" s="2" t="s">
        <v>151</v>
      </c>
      <c r="C215" s="2">
        <v>8</v>
      </c>
      <c r="D215" s="2">
        <v>0</v>
      </c>
      <c r="E215" s="8">
        <v>-0.109280592565171</v>
      </c>
      <c r="F215" s="8">
        <v>0.16351059380270899</v>
      </c>
      <c r="G215" s="2">
        <v>-2.293577981939392E-3</v>
      </c>
      <c r="H215" s="2">
        <v>-4.6175546920743119E-2</v>
      </c>
    </row>
    <row r="216" spans="1:8" x14ac:dyDescent="0.25">
      <c r="A216" s="2" t="s">
        <v>150</v>
      </c>
      <c r="B216" s="2" t="s">
        <v>151</v>
      </c>
      <c r="C216" s="2">
        <v>9</v>
      </c>
      <c r="D216" s="2">
        <v>0</v>
      </c>
      <c r="E216" s="8">
        <v>2.36237091823263E-2</v>
      </c>
      <c r="F216" s="8">
        <v>0.45175487549385701</v>
      </c>
      <c r="G216" s="2">
        <v>5.5632183911617367E-2</v>
      </c>
      <c r="H216" s="2">
        <v>5.0140907949440545E-2</v>
      </c>
    </row>
    <row r="217" spans="1:8" x14ac:dyDescent="0.25">
      <c r="A217" s="2" t="s">
        <v>150</v>
      </c>
      <c r="B217" s="2" t="s">
        <v>151</v>
      </c>
      <c r="C217" s="2">
        <v>10</v>
      </c>
      <c r="D217" s="2">
        <v>0</v>
      </c>
      <c r="E217" s="8">
        <v>5.5319169912573699E-2</v>
      </c>
      <c r="F217" s="8">
        <v>0.52427611158288501</v>
      </c>
      <c r="G217" s="2">
        <v>6.9686411125829892E-3</v>
      </c>
      <c r="H217" s="2">
        <v>3.7224997342969586E-2</v>
      </c>
    </row>
    <row r="218" spans="1:8" x14ac:dyDescent="0.25">
      <c r="A218" s="2" t="s">
        <v>152</v>
      </c>
      <c r="B218" s="2" t="s">
        <v>153</v>
      </c>
      <c r="C218" s="2">
        <v>8</v>
      </c>
      <c r="D218" s="2">
        <v>3</v>
      </c>
      <c r="E218" s="8">
        <v>-9.6254729903073703E-3</v>
      </c>
      <c r="F218" s="8">
        <v>1.0145026930894301</v>
      </c>
      <c r="G218" s="2">
        <v>8.3000676284093092E-2</v>
      </c>
      <c r="H218" s="2">
        <v>7.2814825623814305E-2</v>
      </c>
    </row>
    <row r="219" spans="1:8" x14ac:dyDescent="0.25">
      <c r="A219" s="2" t="s">
        <v>152</v>
      </c>
      <c r="B219" s="2" t="s">
        <v>153</v>
      </c>
      <c r="C219" s="2">
        <v>9</v>
      </c>
      <c r="D219" s="2">
        <v>0</v>
      </c>
      <c r="E219" s="8">
        <v>-0.120885536992883</v>
      </c>
      <c r="F219" s="8">
        <v>0.76420983156896505</v>
      </c>
      <c r="G219" s="2">
        <v>-8.8877062268710644E-2</v>
      </c>
      <c r="H219" s="2">
        <v>-9.3171926006528849E-2</v>
      </c>
    </row>
    <row r="220" spans="1:8" x14ac:dyDescent="0.25">
      <c r="A220" s="2" t="s">
        <v>152</v>
      </c>
      <c r="B220" s="2" t="s">
        <v>153</v>
      </c>
      <c r="C220" s="2">
        <v>10</v>
      </c>
      <c r="D220" s="2">
        <v>1</v>
      </c>
      <c r="E220" s="8">
        <v>-2.8615914264703401E-2</v>
      </c>
      <c r="F220" s="8">
        <v>0.280708138149804</v>
      </c>
      <c r="G220" s="2">
        <v>-2.5700934575640263E-2</v>
      </c>
      <c r="H220" s="2">
        <v>-2.1148942552872359E-2</v>
      </c>
    </row>
    <row r="221" spans="1:8" x14ac:dyDescent="0.25">
      <c r="A221" s="2" t="s">
        <v>154</v>
      </c>
      <c r="B221" s="2" t="s">
        <v>155</v>
      </c>
      <c r="C221" s="2">
        <v>8</v>
      </c>
      <c r="D221" s="2">
        <v>0</v>
      </c>
      <c r="E221" s="8">
        <v>-0.13850728919790301</v>
      </c>
      <c r="F221" s="8">
        <v>5.7870956610787498E-2</v>
      </c>
      <c r="G221" s="2">
        <v>-3.07219662043497E-2</v>
      </c>
      <c r="H221" s="2">
        <v>-2.2670961347869157E-2</v>
      </c>
    </row>
    <row r="222" spans="1:8" x14ac:dyDescent="0.25">
      <c r="A222" s="2" t="s">
        <v>154</v>
      </c>
      <c r="B222" s="2" t="s">
        <v>155</v>
      </c>
      <c r="C222" s="2">
        <v>9</v>
      </c>
      <c r="D222" s="2">
        <v>0</v>
      </c>
      <c r="E222" s="8">
        <v>-9.8569488988794196E-2</v>
      </c>
      <c r="F222" s="8">
        <v>6.6949615997786996E-2</v>
      </c>
      <c r="G222" s="2">
        <v>-6.6561014265256138E-2</v>
      </c>
      <c r="H222" s="2">
        <v>-4.2717708201293017E-2</v>
      </c>
    </row>
    <row r="223" spans="1:8" x14ac:dyDescent="0.25">
      <c r="A223" s="2" t="s">
        <v>154</v>
      </c>
      <c r="B223" s="2" t="s">
        <v>155</v>
      </c>
      <c r="C223" s="2">
        <v>10</v>
      </c>
      <c r="D223" s="2">
        <v>0</v>
      </c>
      <c r="E223" s="8">
        <v>-2.7159104845919501E-2</v>
      </c>
      <c r="F223" s="8">
        <v>6.1745445176142597E-2</v>
      </c>
      <c r="G223" s="2">
        <v>-1.0186757215977301E-2</v>
      </c>
      <c r="H223" s="2">
        <v>-2.5026483050847495E-2</v>
      </c>
    </row>
    <row r="224" spans="1:8" x14ac:dyDescent="0.25">
      <c r="A224" s="2" t="s">
        <v>156</v>
      </c>
      <c r="B224" s="2" t="s">
        <v>157</v>
      </c>
      <c r="C224" s="2">
        <v>8</v>
      </c>
      <c r="D224" s="2">
        <v>1</v>
      </c>
      <c r="E224" s="8">
        <v>-8.1323218086107305E-2</v>
      </c>
      <c r="F224" s="8">
        <v>1.82645089097486</v>
      </c>
      <c r="G224" s="2">
        <v>4.8233486943164296E-2</v>
      </c>
      <c r="H224" s="2">
        <v>8.4221287303896497E-2</v>
      </c>
    </row>
    <row r="225" spans="1:8" x14ac:dyDescent="0.25">
      <c r="A225" s="2" t="s">
        <v>156</v>
      </c>
      <c r="B225" s="2" t="s">
        <v>157</v>
      </c>
      <c r="C225" s="2">
        <v>9</v>
      </c>
      <c r="D225" s="2">
        <v>0</v>
      </c>
      <c r="E225" s="8">
        <v>-0.13575994014189799</v>
      </c>
      <c r="F225" s="8">
        <v>2.0692197433623001</v>
      </c>
      <c r="G225" s="2">
        <v>-0.10375146541617808</v>
      </c>
      <c r="H225" s="2">
        <v>-0.11532184950135996</v>
      </c>
    </row>
    <row r="226" spans="1:8" x14ac:dyDescent="0.25">
      <c r="A226" s="2" t="s">
        <v>156</v>
      </c>
      <c r="B226" s="2" t="s">
        <v>157</v>
      </c>
      <c r="C226" s="2">
        <v>10</v>
      </c>
      <c r="D226" s="2">
        <v>1</v>
      </c>
      <c r="E226" s="8">
        <v>0.108736777923093</v>
      </c>
      <c r="F226" s="8">
        <v>2.7546097727264298</v>
      </c>
      <c r="G226" s="2">
        <v>0.12459123610202742</v>
      </c>
      <c r="H226" s="2">
        <v>0.13929083828653427</v>
      </c>
    </row>
    <row r="227" spans="1:8" x14ac:dyDescent="0.25">
      <c r="A227" s="2" t="s">
        <v>158</v>
      </c>
      <c r="B227" s="2" t="s">
        <v>159</v>
      </c>
      <c r="C227" s="2">
        <v>8</v>
      </c>
      <c r="D227" s="2">
        <v>0</v>
      </c>
      <c r="E227" s="8">
        <v>3.6838082133050003E-2</v>
      </c>
      <c r="F227" s="8">
        <v>0.99459850717573195</v>
      </c>
      <c r="G227" s="2">
        <v>0.13133402275095135</v>
      </c>
      <c r="H227" s="2">
        <v>0.13133131494967687</v>
      </c>
    </row>
    <row r="228" spans="1:8" x14ac:dyDescent="0.25">
      <c r="A228" s="2" t="s">
        <v>158</v>
      </c>
      <c r="B228" s="2" t="s">
        <v>159</v>
      </c>
      <c r="C228" s="2">
        <v>9</v>
      </c>
      <c r="D228" s="2">
        <v>0</v>
      </c>
      <c r="E228" s="8">
        <v>-1.3726939076725101E-2</v>
      </c>
      <c r="F228" s="8">
        <v>0.658938047656494</v>
      </c>
      <c r="G228" s="2">
        <v>1.8281535646555835E-2</v>
      </c>
      <c r="H228" s="2">
        <v>-7.7173441342398383E-2</v>
      </c>
    </row>
    <row r="229" spans="1:8" x14ac:dyDescent="0.25">
      <c r="A229" s="2" t="s">
        <v>158</v>
      </c>
      <c r="B229" s="2" t="s">
        <v>159</v>
      </c>
      <c r="C229" s="2">
        <v>10</v>
      </c>
      <c r="D229" s="2">
        <v>0</v>
      </c>
      <c r="E229" s="8">
        <v>1.30217390516275E-2</v>
      </c>
      <c r="F229" s="8">
        <v>0.61771281162613101</v>
      </c>
      <c r="G229" s="2">
        <v>3.052064632265199E-2</v>
      </c>
      <c r="H229" s="2">
        <v>0.10745356219139431</v>
      </c>
    </row>
    <row r="230" spans="1:8" x14ac:dyDescent="0.25">
      <c r="A230" s="2" t="s">
        <v>160</v>
      </c>
      <c r="B230" s="2" t="s">
        <v>161</v>
      </c>
      <c r="C230" s="2">
        <v>8</v>
      </c>
      <c r="D230" s="2">
        <v>0</v>
      </c>
      <c r="E230" s="8">
        <v>-0.138748128888283</v>
      </c>
      <c r="F230" s="8">
        <v>0.180461049748111</v>
      </c>
      <c r="G230" s="2">
        <v>-3.5409035407818909E-2</v>
      </c>
      <c r="H230" s="2">
        <v>-4.3544457978075622E-2</v>
      </c>
    </row>
    <row r="231" spans="1:8" x14ac:dyDescent="0.25">
      <c r="A231" s="2" t="s">
        <v>160</v>
      </c>
      <c r="B231" s="2" t="s">
        <v>161</v>
      </c>
      <c r="C231" s="2">
        <v>9</v>
      </c>
      <c r="D231" s="2">
        <v>0</v>
      </c>
      <c r="E231" s="8">
        <v>-0.12061606966242901</v>
      </c>
      <c r="F231" s="8">
        <v>0.24625858369463999</v>
      </c>
      <c r="G231" s="2">
        <v>-8.860759493708327E-2</v>
      </c>
      <c r="H231" s="2">
        <v>-6.3355619229544649E-2</v>
      </c>
    </row>
    <row r="232" spans="1:8" x14ac:dyDescent="0.25">
      <c r="A232" s="2" t="s">
        <v>160</v>
      </c>
      <c r="B232" s="2" t="s">
        <v>161</v>
      </c>
      <c r="C232" s="2">
        <v>10</v>
      </c>
      <c r="D232" s="2">
        <v>0</v>
      </c>
      <c r="E232" s="8">
        <v>7.5005581062399504E-2</v>
      </c>
      <c r="F232" s="8">
        <v>0.23132451104836399</v>
      </c>
      <c r="G232" s="2">
        <v>0.10277777777682792</v>
      </c>
      <c r="H232" s="2">
        <v>7.3079537729435637E-2</v>
      </c>
    </row>
    <row r="233" spans="1:8" x14ac:dyDescent="0.25">
      <c r="A233" s="2" t="s">
        <v>162</v>
      </c>
      <c r="B233" s="2" t="s">
        <v>163</v>
      </c>
      <c r="C233" s="2">
        <v>8</v>
      </c>
      <c r="D233" s="2">
        <v>0</v>
      </c>
      <c r="E233" s="8">
        <v>-2.4543096315903901E-2</v>
      </c>
      <c r="F233" s="8">
        <v>2.9244257067475101</v>
      </c>
      <c r="G233" s="2">
        <v>6.5862203189140212E-2</v>
      </c>
      <c r="H233" s="2">
        <v>6.5854860569222642E-2</v>
      </c>
    </row>
    <row r="234" spans="1:8" x14ac:dyDescent="0.25">
      <c r="A234" s="2" t="s">
        <v>162</v>
      </c>
      <c r="B234" s="2" t="s">
        <v>163</v>
      </c>
      <c r="C234" s="2">
        <v>9</v>
      </c>
      <c r="D234" s="2">
        <v>2</v>
      </c>
      <c r="E234" s="8">
        <v>0.22115053484260999</v>
      </c>
      <c r="F234" s="8">
        <v>7.80495587093138</v>
      </c>
      <c r="G234" s="2">
        <v>0.25315900956969711</v>
      </c>
      <c r="H234" s="2">
        <v>-7.5628552162604751E-2</v>
      </c>
    </row>
    <row r="235" spans="1:8" x14ac:dyDescent="0.25">
      <c r="A235" s="2" t="s">
        <v>162</v>
      </c>
      <c r="B235" s="2" t="s">
        <v>163</v>
      </c>
      <c r="C235" s="2">
        <v>10</v>
      </c>
      <c r="D235" s="2">
        <v>2</v>
      </c>
      <c r="E235" s="8">
        <v>-9.5465655167710606E-2</v>
      </c>
      <c r="F235" s="8">
        <v>3.2283199965307001</v>
      </c>
      <c r="G235" s="2">
        <v>-6.7377746691746024E-2</v>
      </c>
      <c r="H235" s="2">
        <v>1.7747162850800781E-2</v>
      </c>
    </row>
    <row r="236" spans="1:8" x14ac:dyDescent="0.25">
      <c r="A236" s="2" t="s">
        <v>164</v>
      </c>
      <c r="B236" s="2" t="s">
        <v>165</v>
      </c>
      <c r="C236" s="2">
        <v>8</v>
      </c>
      <c r="D236" s="2">
        <v>5</v>
      </c>
      <c r="E236" s="8">
        <v>8.0286083993539495E-2</v>
      </c>
      <c r="F236" s="8">
        <v>3.27380738008587</v>
      </c>
      <c r="G236" s="2">
        <v>0.18329922660662107</v>
      </c>
      <c r="H236" s="2">
        <v>0.11407059450635484</v>
      </c>
    </row>
    <row r="237" spans="1:8" x14ac:dyDescent="0.25">
      <c r="A237" s="2" t="s">
        <v>164</v>
      </c>
      <c r="B237" s="2" t="s">
        <v>165</v>
      </c>
      <c r="C237" s="2">
        <v>9</v>
      </c>
      <c r="D237" s="2">
        <v>4</v>
      </c>
      <c r="E237" s="8">
        <v>8.5144664018782401E-2</v>
      </c>
      <c r="F237" s="8">
        <v>4.16580921913335</v>
      </c>
      <c r="G237" s="2">
        <v>0.11893194016729439</v>
      </c>
      <c r="H237" s="2">
        <v>8.0426429030666338E-2</v>
      </c>
    </row>
    <row r="238" spans="1:8" x14ac:dyDescent="0.25">
      <c r="A238" s="2" t="s">
        <v>164</v>
      </c>
      <c r="B238" s="2" t="s">
        <v>165</v>
      </c>
      <c r="C238" s="2">
        <v>10</v>
      </c>
      <c r="D238" s="2">
        <v>1</v>
      </c>
      <c r="E238" s="8">
        <v>-8.1239945065016195E-2</v>
      </c>
      <c r="F238" s="8">
        <v>2.9858216427564699</v>
      </c>
      <c r="G238" s="2">
        <v>-6.2487585421603264E-2</v>
      </c>
      <c r="H238" s="2">
        <v>-0.14597287572654308</v>
      </c>
    </row>
    <row r="239" spans="1:8" x14ac:dyDescent="0.25">
      <c r="A239" s="2" t="s">
        <v>166</v>
      </c>
      <c r="B239" s="2" t="s">
        <v>167</v>
      </c>
      <c r="C239" s="2">
        <v>8</v>
      </c>
      <c r="D239" s="2">
        <v>1</v>
      </c>
      <c r="E239" s="8">
        <v>0.77922525301406598</v>
      </c>
      <c r="F239" s="8">
        <v>55.1319196671989</v>
      </c>
      <c r="G239" s="2">
        <v>0.94517256443684905</v>
      </c>
      <c r="H239" s="2">
        <v>0.54626390087176524</v>
      </c>
    </row>
    <row r="240" spans="1:8" x14ac:dyDescent="0.25">
      <c r="A240" s="2" t="s">
        <v>166</v>
      </c>
      <c r="B240" s="2" t="s">
        <v>167</v>
      </c>
      <c r="C240" s="2">
        <v>9</v>
      </c>
      <c r="D240" s="2">
        <v>1</v>
      </c>
      <c r="E240" s="8">
        <v>-5.1415460339735196E-3</v>
      </c>
      <c r="F240" s="8">
        <v>21.668931596569202</v>
      </c>
      <c r="G240" s="2">
        <v>2.7132978000889527E-2</v>
      </c>
      <c r="H240" s="2">
        <v>4.988515426298476E-2</v>
      </c>
    </row>
    <row r="241" spans="1:8" x14ac:dyDescent="0.25">
      <c r="A241" s="2" t="s">
        <v>166</v>
      </c>
      <c r="B241" s="2" t="s">
        <v>167</v>
      </c>
      <c r="C241" s="2">
        <v>10</v>
      </c>
      <c r="D241" s="2">
        <v>1</v>
      </c>
      <c r="E241" s="8">
        <v>-5.8665168315624898E-2</v>
      </c>
      <c r="F241" s="8">
        <v>30.473519833281699</v>
      </c>
      <c r="G241" s="2">
        <v>1.9684501188173942E-2</v>
      </c>
      <c r="H241" s="2">
        <v>-2.7550993792060754E-3</v>
      </c>
    </row>
    <row r="242" spans="1:8" x14ac:dyDescent="0.25">
      <c r="A242" s="2" t="s">
        <v>168</v>
      </c>
      <c r="B242" s="2" t="s">
        <v>169</v>
      </c>
      <c r="C242" s="2">
        <v>8</v>
      </c>
      <c r="D242" s="2">
        <v>0</v>
      </c>
      <c r="E242" s="8">
        <v>3.7472362368007398E-2</v>
      </c>
      <c r="F242" s="8">
        <v>0.36477781887452798</v>
      </c>
      <c r="G242" s="2">
        <v>0.14896579380593081</v>
      </c>
      <c r="H242" s="2">
        <v>0.14898365402014604</v>
      </c>
    </row>
    <row r="243" spans="1:8" x14ac:dyDescent="0.25">
      <c r="A243" s="2" t="s">
        <v>168</v>
      </c>
      <c r="B243" s="2" t="s">
        <v>169</v>
      </c>
      <c r="C243" s="2">
        <v>9</v>
      </c>
      <c r="D243" s="2">
        <v>0</v>
      </c>
      <c r="E243" s="8">
        <v>0.17092039556716701</v>
      </c>
      <c r="F243" s="8">
        <v>0.454212843674975</v>
      </c>
      <c r="G243" s="2">
        <v>0.20292887029203049</v>
      </c>
      <c r="H243" s="2">
        <v>0.10982203790225212</v>
      </c>
    </row>
    <row r="244" spans="1:8" x14ac:dyDescent="0.25">
      <c r="A244" s="2" t="s">
        <v>168</v>
      </c>
      <c r="B244" s="2" t="s">
        <v>169</v>
      </c>
      <c r="C244" s="2">
        <v>10</v>
      </c>
      <c r="D244" s="2">
        <v>0</v>
      </c>
      <c r="E244" s="8">
        <v>-7.4777027633252599E-2</v>
      </c>
      <c r="F244" s="8">
        <v>0.44882116836939701</v>
      </c>
      <c r="G244" s="2">
        <v>-1.130434782860254E-2</v>
      </c>
      <c r="H244" s="2">
        <v>8.2824842722671599E-2</v>
      </c>
    </row>
    <row r="245" spans="1:8" x14ac:dyDescent="0.25">
      <c r="A245" s="2" t="s">
        <v>170</v>
      </c>
      <c r="B245" s="2" t="s">
        <v>171</v>
      </c>
      <c r="C245" s="2">
        <v>8</v>
      </c>
      <c r="D245" s="2">
        <v>0</v>
      </c>
      <c r="E245" s="8">
        <v>-4.1817840682827297E-2</v>
      </c>
      <c r="F245" s="8">
        <v>0.60457423034727298</v>
      </c>
      <c r="G245" s="2">
        <v>6.7491563553122594E-2</v>
      </c>
      <c r="H245" s="2">
        <v>4.7189858576976634E-2</v>
      </c>
    </row>
    <row r="246" spans="1:8" x14ac:dyDescent="0.25">
      <c r="A246" s="2" t="s">
        <v>170</v>
      </c>
      <c r="B246" s="2" t="s">
        <v>171</v>
      </c>
      <c r="C246" s="2">
        <v>9</v>
      </c>
      <c r="D246" s="2">
        <v>0</v>
      </c>
      <c r="E246" s="8">
        <v>-0.13053323763404401</v>
      </c>
      <c r="F246" s="8">
        <v>0.60961292807643097</v>
      </c>
      <c r="G246" s="2">
        <v>-9.8524762906920124E-2</v>
      </c>
      <c r="H246" s="2">
        <v>-9.6704219438807706E-2</v>
      </c>
    </row>
    <row r="247" spans="1:8" x14ac:dyDescent="0.25">
      <c r="A247" s="2" t="s">
        <v>170</v>
      </c>
      <c r="B247" s="2" t="s">
        <v>171</v>
      </c>
      <c r="C247" s="2">
        <v>10</v>
      </c>
      <c r="D247" s="2">
        <v>0</v>
      </c>
      <c r="E247" s="8">
        <v>1.28635588531651E-2</v>
      </c>
      <c r="F247" s="8">
        <v>0.21186323279834199</v>
      </c>
      <c r="G247" s="2">
        <v>-2.3378141488778559E-3</v>
      </c>
      <c r="H247" s="2">
        <v>4.647920055775045E-3</v>
      </c>
    </row>
    <row r="248" spans="1:8" x14ac:dyDescent="0.25">
      <c r="A248" s="2" t="s">
        <v>172</v>
      </c>
      <c r="B248" s="2" t="s">
        <v>173</v>
      </c>
      <c r="C248" s="2">
        <v>8</v>
      </c>
      <c r="D248" s="2">
        <v>0</v>
      </c>
      <c r="E248" s="8">
        <v>-0.15113783561761299</v>
      </c>
      <c r="F248" s="8">
        <v>0.14511735809009199</v>
      </c>
      <c r="G248" s="2">
        <v>-4.5397225721377665E-2</v>
      </c>
      <c r="H248" s="2">
        <v>-6.2782401902496981E-2</v>
      </c>
    </row>
    <row r="249" spans="1:8" x14ac:dyDescent="0.25">
      <c r="A249" s="2" t="s">
        <v>172</v>
      </c>
      <c r="B249" s="2" t="s">
        <v>173</v>
      </c>
      <c r="C249" s="2">
        <v>9</v>
      </c>
      <c r="D249" s="2">
        <v>0</v>
      </c>
      <c r="E249" s="8">
        <v>-0.162787867063897</v>
      </c>
      <c r="F249" s="8">
        <v>0.29873941503463802</v>
      </c>
      <c r="G249" s="2">
        <v>-0.13077939234356067</v>
      </c>
      <c r="H249" s="2">
        <v>-0.11088556204009138</v>
      </c>
    </row>
    <row r="250" spans="1:8" x14ac:dyDescent="0.25">
      <c r="A250" s="2" t="s">
        <v>172</v>
      </c>
      <c r="B250" s="2" t="s">
        <v>173</v>
      </c>
      <c r="C250" s="2">
        <v>10</v>
      </c>
      <c r="D250" s="2">
        <v>1</v>
      </c>
      <c r="E250" s="8">
        <v>3.4959988357232297E-2</v>
      </c>
      <c r="F250" s="8">
        <v>0.14421950182233501</v>
      </c>
      <c r="G250" s="2">
        <v>6.6869300912898902E-2</v>
      </c>
      <c r="H250" s="2">
        <v>3.3390410958904077E-2</v>
      </c>
    </row>
    <row r="251" spans="1:8" x14ac:dyDescent="0.25">
      <c r="A251" s="2" t="s">
        <v>174</v>
      </c>
      <c r="B251" s="2" t="s">
        <v>175</v>
      </c>
      <c r="C251" s="2">
        <v>8</v>
      </c>
      <c r="D251" s="2">
        <v>0</v>
      </c>
      <c r="E251" s="8">
        <v>-0.10584535914340799</v>
      </c>
      <c r="F251" s="8">
        <v>9.6606713756638901E-2</v>
      </c>
      <c r="G251" s="2">
        <v>1.2578616333299218E-3</v>
      </c>
      <c r="H251" s="2">
        <v>8.6118515480827999E-3</v>
      </c>
    </row>
    <row r="252" spans="1:8" x14ac:dyDescent="0.25">
      <c r="A252" s="2" t="s">
        <v>174</v>
      </c>
      <c r="B252" s="2" t="s">
        <v>175</v>
      </c>
      <c r="C252" s="2">
        <v>9</v>
      </c>
      <c r="D252" s="2">
        <v>0</v>
      </c>
      <c r="E252" s="8">
        <v>-4.4571288796071397E-2</v>
      </c>
      <c r="F252" s="8">
        <v>0.107233006807222</v>
      </c>
      <c r="G252" s="2">
        <v>-1.256281407248765E-2</v>
      </c>
      <c r="H252" s="2">
        <v>-3.0087416141492133E-2</v>
      </c>
    </row>
    <row r="253" spans="1:8" x14ac:dyDescent="0.25">
      <c r="A253" s="2" t="s">
        <v>174</v>
      </c>
      <c r="B253" s="2" t="s">
        <v>175</v>
      </c>
      <c r="C253" s="2">
        <v>10</v>
      </c>
      <c r="D253" s="2">
        <v>0</v>
      </c>
      <c r="E253" s="8">
        <v>-6.7424444382893106E-2</v>
      </c>
      <c r="F253" s="8">
        <v>0.21189273090826999</v>
      </c>
      <c r="G253" s="2">
        <v>-4.7073791341825807E-2</v>
      </c>
      <c r="H253" s="2">
        <v>-2.5571159086145552E-2</v>
      </c>
    </row>
    <row r="254" spans="1:8" x14ac:dyDescent="0.25">
      <c r="A254" s="2" t="s">
        <v>176</v>
      </c>
      <c r="B254" s="2" t="s">
        <v>177</v>
      </c>
      <c r="C254" s="2">
        <v>8</v>
      </c>
      <c r="D254" s="2">
        <v>1</v>
      </c>
      <c r="E254" s="8">
        <v>-0.23657481822302601</v>
      </c>
      <c r="F254" s="8">
        <v>0.150752082825381</v>
      </c>
      <c r="G254" s="2">
        <v>-9.2024539882380588E-2</v>
      </c>
      <c r="H254" s="2">
        <v>-9.2054862226615602E-2</v>
      </c>
    </row>
    <row r="255" spans="1:8" x14ac:dyDescent="0.25">
      <c r="A255" s="2" t="s">
        <v>176</v>
      </c>
      <c r="B255" s="2" t="s">
        <v>177</v>
      </c>
      <c r="C255" s="2">
        <v>9</v>
      </c>
      <c r="D255" s="2">
        <v>0</v>
      </c>
      <c r="E255" s="8">
        <v>-8.9440907158152103E-2</v>
      </c>
      <c r="F255" s="8">
        <v>8.8312706895067594E-2</v>
      </c>
      <c r="G255" s="2">
        <v>-5.7432432427098869E-2</v>
      </c>
      <c r="H255" s="2">
        <v>-8.8595536200326688E-2</v>
      </c>
    </row>
    <row r="256" spans="1:8" x14ac:dyDescent="0.25">
      <c r="A256" s="2" t="s">
        <v>176</v>
      </c>
      <c r="B256" s="2" t="s">
        <v>177</v>
      </c>
      <c r="C256" s="2">
        <v>10</v>
      </c>
      <c r="D256" s="2">
        <v>2</v>
      </c>
      <c r="E256" s="8">
        <v>1.0758269234442499E-2</v>
      </c>
      <c r="F256" s="8">
        <v>6.9377484057276506E-2</v>
      </c>
      <c r="G256" s="2">
        <v>2.3297491034989206E-2</v>
      </c>
      <c r="H256" s="2">
        <v>3.6284903688218587E-2</v>
      </c>
    </row>
    <row r="257" spans="1:8" x14ac:dyDescent="0.25">
      <c r="A257" s="2" t="s">
        <v>178</v>
      </c>
      <c r="B257" s="2" t="s">
        <v>179</v>
      </c>
      <c r="C257" s="2">
        <v>8</v>
      </c>
      <c r="D257" s="2">
        <v>1</v>
      </c>
      <c r="E257" s="8">
        <v>-1.44955164329327E-2</v>
      </c>
      <c r="F257" s="8">
        <v>1.5173952139420099</v>
      </c>
      <c r="G257" s="2">
        <v>0.10330578512399427</v>
      </c>
      <c r="H257" s="2">
        <v>0.10329301075268814</v>
      </c>
    </row>
    <row r="258" spans="1:8" x14ac:dyDescent="0.25">
      <c r="A258" s="2" t="s">
        <v>178</v>
      </c>
      <c r="B258" s="2" t="s">
        <v>179</v>
      </c>
      <c r="C258" s="2">
        <v>9</v>
      </c>
      <c r="D258" s="2">
        <v>1</v>
      </c>
      <c r="E258" s="8">
        <v>-0.106379796288052</v>
      </c>
      <c r="F258" s="8">
        <v>1.6574541057157799</v>
      </c>
      <c r="G258" s="2">
        <v>0.55752752344698886</v>
      </c>
      <c r="H258" s="2">
        <v>-0.52247670098069066</v>
      </c>
    </row>
    <row r="259" spans="1:8" x14ac:dyDescent="0.25">
      <c r="A259" s="2" t="s">
        <v>178</v>
      </c>
      <c r="B259" s="2" t="s">
        <v>179</v>
      </c>
      <c r="C259" s="2">
        <v>10</v>
      </c>
      <c r="D259" s="2">
        <v>0</v>
      </c>
      <c r="E259" s="8">
        <v>3.7577835397659499E-2</v>
      </c>
      <c r="F259" s="8">
        <v>0.672457630416878</v>
      </c>
      <c r="G259" s="2">
        <v>3.2369942194356224E-2</v>
      </c>
      <c r="H259" s="2">
        <v>2.347088462274376E-2</v>
      </c>
    </row>
    <row r="260" spans="1:8" x14ac:dyDescent="0.25">
      <c r="A260" s="2" t="s">
        <v>180</v>
      </c>
      <c r="B260" s="2" t="s">
        <v>181</v>
      </c>
      <c r="C260" s="2">
        <v>8</v>
      </c>
      <c r="D260" s="2">
        <v>1</v>
      </c>
      <c r="E260" s="8">
        <v>-5.7487565094968503E-2</v>
      </c>
      <c r="F260" s="8">
        <v>0.12673369154028599</v>
      </c>
      <c r="G260" s="2">
        <v>5.2747252751260958E-2</v>
      </c>
      <c r="H260" s="2">
        <v>1.5510823107679711E-2</v>
      </c>
    </row>
    <row r="261" spans="1:8" x14ac:dyDescent="0.25">
      <c r="A261" s="2" t="s">
        <v>180</v>
      </c>
      <c r="B261" s="2" t="s">
        <v>181</v>
      </c>
      <c r="C261" s="2">
        <v>9</v>
      </c>
      <c r="D261" s="2">
        <v>1</v>
      </c>
      <c r="E261" s="8">
        <v>7.6574960467229603E-3</v>
      </c>
      <c r="F261" s="8">
        <v>9.79088718459524E-2</v>
      </c>
      <c r="G261" s="2">
        <v>3.9665970765551381E-2</v>
      </c>
      <c r="H261" s="2">
        <v>4.3785214853031024E-2</v>
      </c>
    </row>
    <row r="262" spans="1:8" x14ac:dyDescent="0.25">
      <c r="A262" s="2" t="s">
        <v>180</v>
      </c>
      <c r="B262" s="2" t="s">
        <v>181</v>
      </c>
      <c r="C262" s="2">
        <v>10</v>
      </c>
      <c r="D262" s="2">
        <v>0</v>
      </c>
      <c r="E262" s="8">
        <v>6.2254577046335198E-2</v>
      </c>
      <c r="F262" s="8">
        <v>0.111549909694904</v>
      </c>
      <c r="G262" s="2">
        <v>2.6104417674616472E-2</v>
      </c>
      <c r="H262" s="2">
        <v>2.2047346514047748E-2</v>
      </c>
    </row>
    <row r="263" spans="1:8" x14ac:dyDescent="0.25">
      <c r="A263" s="2" t="s">
        <v>182</v>
      </c>
      <c r="B263" s="2" t="s">
        <v>183</v>
      </c>
      <c r="C263" s="2">
        <v>8</v>
      </c>
      <c r="D263" s="2">
        <v>0</v>
      </c>
      <c r="E263" s="8">
        <v>-1.57428961048705E-2</v>
      </c>
      <c r="F263" s="8">
        <v>1.8215116694396301</v>
      </c>
      <c r="G263" s="2">
        <v>0.11770179111170358</v>
      </c>
      <c r="H263" s="2">
        <v>7.4604743083003855E-2</v>
      </c>
    </row>
    <row r="264" spans="1:8" x14ac:dyDescent="0.25">
      <c r="A264" s="2" t="s">
        <v>182</v>
      </c>
      <c r="B264" s="2" t="s">
        <v>183</v>
      </c>
      <c r="C264" s="2">
        <v>9</v>
      </c>
      <c r="D264" s="2">
        <v>1</v>
      </c>
      <c r="E264" s="8">
        <v>0.339479558572928</v>
      </c>
      <c r="F264" s="8">
        <v>4.2084501676808301</v>
      </c>
      <c r="G264" s="2">
        <v>0.53085839612017671</v>
      </c>
      <c r="H264" s="2">
        <v>0.13935632183908053</v>
      </c>
    </row>
    <row r="265" spans="1:8" x14ac:dyDescent="0.25">
      <c r="A265" s="2" t="s">
        <v>182</v>
      </c>
      <c r="B265" s="2" t="s">
        <v>183</v>
      </c>
      <c r="C265" s="2">
        <v>10</v>
      </c>
      <c r="D265" s="2">
        <v>1</v>
      </c>
      <c r="E265" s="8">
        <v>-1.6534631380696101E-2</v>
      </c>
      <c r="F265" s="8">
        <v>2.8575121583807999</v>
      </c>
      <c r="G265" s="2">
        <v>-4.4309559940686596E-2</v>
      </c>
      <c r="H265" s="2">
        <v>1.1944635002622916E-2</v>
      </c>
    </row>
    <row r="266" spans="1:8" x14ac:dyDescent="0.25">
      <c r="A266" s="2" t="s">
        <v>184</v>
      </c>
      <c r="B266" s="2" t="s">
        <v>185</v>
      </c>
      <c r="C266" s="2">
        <v>8</v>
      </c>
      <c r="D266" s="2">
        <v>0</v>
      </c>
      <c r="E266" s="8">
        <v>-0.14758688108986701</v>
      </c>
      <c r="F266" s="8">
        <v>6.0324519219365699E-2</v>
      </c>
      <c r="G266" s="2">
        <v>-4.1420118345107518E-2</v>
      </c>
      <c r="H266" s="2">
        <v>-5.6309236201449529E-2</v>
      </c>
    </row>
    <row r="267" spans="1:8" x14ac:dyDescent="0.25">
      <c r="A267" s="2" t="s">
        <v>184</v>
      </c>
      <c r="B267" s="2" t="s">
        <v>185</v>
      </c>
      <c r="C267" s="2">
        <v>9</v>
      </c>
      <c r="D267" s="2">
        <v>0</v>
      </c>
      <c r="E267" s="8">
        <v>-0.112255388305967</v>
      </c>
      <c r="F267" s="8">
        <v>5.1134319343456601E-2</v>
      </c>
      <c r="G267" s="2">
        <v>-8.0246913576084683E-2</v>
      </c>
      <c r="H267" s="2">
        <v>-7.1090980701063441E-2</v>
      </c>
    </row>
    <row r="268" spans="1:8" x14ac:dyDescent="0.25">
      <c r="A268" s="2" t="s">
        <v>184</v>
      </c>
      <c r="B268" s="2" t="s">
        <v>185</v>
      </c>
      <c r="C268" s="2">
        <v>10</v>
      </c>
      <c r="D268" s="2">
        <v>0</v>
      </c>
      <c r="E268" s="8">
        <v>3.3612857603861701E-3</v>
      </c>
      <c r="F268" s="8">
        <v>4.1248885902958603E-2</v>
      </c>
      <c r="G268" s="2">
        <v>4.0268456368868673E-2</v>
      </c>
      <c r="H268" s="2">
        <v>2.9891880432478271E-2</v>
      </c>
    </row>
    <row r="269" spans="1:8" x14ac:dyDescent="0.25">
      <c r="A269" s="2" t="s">
        <v>186</v>
      </c>
      <c r="B269" s="2" t="s">
        <v>187</v>
      </c>
      <c r="C269" s="2">
        <v>8</v>
      </c>
      <c r="D269" s="2">
        <v>1</v>
      </c>
      <c r="E269" s="8">
        <v>0.188214655391574</v>
      </c>
      <c r="F269" s="8">
        <v>3.6101435138337901</v>
      </c>
      <c r="G269" s="2">
        <v>0.3027334851931856</v>
      </c>
      <c r="H269" s="2">
        <v>0.26287781149960499</v>
      </c>
    </row>
    <row r="270" spans="1:8" x14ac:dyDescent="0.25">
      <c r="A270" s="2" t="s">
        <v>186</v>
      </c>
      <c r="B270" s="2" t="s">
        <v>187</v>
      </c>
      <c r="C270" s="2">
        <v>9</v>
      </c>
      <c r="D270" s="2">
        <v>4</v>
      </c>
      <c r="E270" s="8">
        <v>0.55917879577611596</v>
      </c>
      <c r="F270" s="8">
        <v>7.7240149626251497</v>
      </c>
      <c r="G270" s="2">
        <v>0.59118727050768405</v>
      </c>
      <c r="H270" s="2">
        <v>0.36887674479852528</v>
      </c>
    </row>
    <row r="271" spans="1:8" x14ac:dyDescent="0.25">
      <c r="A271" s="2" t="s">
        <v>186</v>
      </c>
      <c r="B271" s="2" t="s">
        <v>187</v>
      </c>
      <c r="C271" s="2">
        <v>10</v>
      </c>
      <c r="D271" s="2">
        <v>2</v>
      </c>
      <c r="E271" s="8">
        <v>-8.5928484871666294E-2</v>
      </c>
      <c r="F271" s="8">
        <v>3.67151154959691</v>
      </c>
      <c r="G271" s="2">
        <v>-0.11812705685343712</v>
      </c>
      <c r="H271" s="2">
        <v>-2.2606478920661594E-3</v>
      </c>
    </row>
    <row r="272" spans="1:8" x14ac:dyDescent="0.25">
      <c r="A272" s="2" t="s">
        <v>188</v>
      </c>
      <c r="B272" s="2" t="s">
        <v>189</v>
      </c>
      <c r="C272" s="2">
        <v>8</v>
      </c>
      <c r="D272" s="2">
        <v>0</v>
      </c>
      <c r="E272" s="8">
        <v>-0.15919740410595101</v>
      </c>
      <c r="F272" s="8">
        <v>0.12774602780144501</v>
      </c>
      <c r="G272" s="2">
        <v>-4.9382716045417531E-2</v>
      </c>
      <c r="H272" s="2">
        <v>-6.2231759656652376E-2</v>
      </c>
    </row>
    <row r="273" spans="1:8" x14ac:dyDescent="0.25">
      <c r="A273" s="2" t="s">
        <v>188</v>
      </c>
      <c r="B273" s="2" t="s">
        <v>189</v>
      </c>
      <c r="C273" s="2">
        <v>9</v>
      </c>
      <c r="D273" s="2">
        <v>0</v>
      </c>
      <c r="E273" s="8">
        <v>-1.1806454523699401E-2</v>
      </c>
      <c r="F273" s="8">
        <v>8.5942697107707994E-2</v>
      </c>
      <c r="G273" s="2">
        <v>2.0202020196265397E-2</v>
      </c>
      <c r="H273" s="2">
        <v>1.7095167586485455E-2</v>
      </c>
    </row>
    <row r="274" spans="1:8" x14ac:dyDescent="0.25">
      <c r="A274" s="2" t="s">
        <v>188</v>
      </c>
      <c r="B274" s="2" t="s">
        <v>189</v>
      </c>
      <c r="C274" s="2">
        <v>10</v>
      </c>
      <c r="D274" s="2">
        <v>1</v>
      </c>
      <c r="E274" s="8">
        <v>4.2438395772441899E-2</v>
      </c>
      <c r="F274" s="8">
        <v>7.2583623173145498E-2</v>
      </c>
      <c r="G274" s="2">
        <v>9.9009901027388506E-3</v>
      </c>
      <c r="H274" s="2">
        <v>2.593965060878765E-2</v>
      </c>
    </row>
    <row r="275" spans="1:8" x14ac:dyDescent="0.25">
      <c r="A275" s="2" t="s">
        <v>190</v>
      </c>
      <c r="B275" s="2" t="s">
        <v>191</v>
      </c>
      <c r="C275" s="2">
        <v>8</v>
      </c>
      <c r="D275" s="2">
        <v>2</v>
      </c>
      <c r="E275" s="8">
        <v>4.6609065207520997E-3</v>
      </c>
      <c r="F275" s="8">
        <v>0.21352483963899099</v>
      </c>
      <c r="G275" s="2">
        <v>0.10652463382367057</v>
      </c>
      <c r="H275" s="2">
        <v>0.35381597478371662</v>
      </c>
    </row>
    <row r="276" spans="1:8" x14ac:dyDescent="0.25">
      <c r="A276" s="2" t="s">
        <v>190</v>
      </c>
      <c r="B276" s="2" t="s">
        <v>191</v>
      </c>
      <c r="C276" s="2">
        <v>9</v>
      </c>
      <c r="D276" s="2">
        <v>2</v>
      </c>
      <c r="E276" s="8">
        <v>-6.2092710586128801E-2</v>
      </c>
      <c r="F276" s="8">
        <v>0.161663431038269</v>
      </c>
      <c r="G276" s="2">
        <v>-3.0084235856258072E-2</v>
      </c>
      <c r="H276" s="2">
        <v>-9.6313175721698674E-2</v>
      </c>
    </row>
    <row r="277" spans="1:8" x14ac:dyDescent="0.25">
      <c r="A277" s="2" t="s">
        <v>190</v>
      </c>
      <c r="B277" s="2" t="s">
        <v>191</v>
      </c>
      <c r="C277" s="2">
        <v>10</v>
      </c>
      <c r="D277" s="2">
        <v>0</v>
      </c>
      <c r="E277" s="8">
        <v>-3.8455957399138999E-2</v>
      </c>
      <c r="F277" s="8">
        <v>0.14582675055170899</v>
      </c>
      <c r="G277" s="2">
        <v>-7.1960297774380913E-2</v>
      </c>
      <c r="H277" s="2">
        <v>-6.6876798684390787E-3</v>
      </c>
    </row>
    <row r="278" spans="1:8" x14ac:dyDescent="0.25">
      <c r="A278" s="2" t="s">
        <v>192</v>
      </c>
      <c r="B278" s="2" t="s">
        <v>193</v>
      </c>
      <c r="C278" s="2">
        <v>8</v>
      </c>
      <c r="D278" s="2">
        <v>0</v>
      </c>
      <c r="E278" s="8">
        <v>-0.146243383908291</v>
      </c>
      <c r="F278" s="8">
        <v>0.22034388707524699</v>
      </c>
      <c r="G278" s="2">
        <v>-4.0793825791977892E-2</v>
      </c>
      <c r="H278" s="2">
        <v>-4.0781887216987646E-2</v>
      </c>
    </row>
    <row r="279" spans="1:8" x14ac:dyDescent="0.25">
      <c r="A279" s="2" t="s">
        <v>192</v>
      </c>
      <c r="B279" s="2" t="s">
        <v>193</v>
      </c>
      <c r="C279" s="2">
        <v>9</v>
      </c>
      <c r="D279" s="2">
        <v>0</v>
      </c>
      <c r="E279" s="8">
        <v>-9.1778589668248395E-2</v>
      </c>
      <c r="F279" s="8">
        <v>0.21266195763490001</v>
      </c>
      <c r="G279" s="2">
        <v>-5.9770114949323279E-2</v>
      </c>
      <c r="H279" s="2">
        <v>-6.186776132531889E-2</v>
      </c>
    </row>
    <row r="280" spans="1:8" x14ac:dyDescent="0.25">
      <c r="A280" s="2" t="s">
        <v>192</v>
      </c>
      <c r="B280" s="2" t="s">
        <v>193</v>
      </c>
      <c r="C280" s="2">
        <v>10</v>
      </c>
      <c r="D280" s="2">
        <v>0</v>
      </c>
      <c r="E280" s="8">
        <v>4.2792867125969199E-2</v>
      </c>
      <c r="F280" s="8">
        <v>0.24579253566419701</v>
      </c>
      <c r="G280" s="2">
        <v>8.3129584357253927E-2</v>
      </c>
      <c r="H280" s="2">
        <v>7.2667604313173914E-2</v>
      </c>
    </row>
    <row r="281" spans="1:8" x14ac:dyDescent="0.25">
      <c r="A281" s="2" t="s">
        <v>194</v>
      </c>
      <c r="B281" s="2" t="s">
        <v>195</v>
      </c>
      <c r="C281" s="2">
        <v>8</v>
      </c>
      <c r="D281" s="2">
        <v>0</v>
      </c>
      <c r="E281" s="8">
        <v>-2.2765429854737E-2</v>
      </c>
      <c r="F281" s="8">
        <v>1.04162670399534</v>
      </c>
      <c r="G281" s="2">
        <v>8.7949593067236584E-2</v>
      </c>
      <c r="H281" s="2">
        <v>4.3771617454124126E-2</v>
      </c>
    </row>
    <row r="282" spans="1:8" x14ac:dyDescent="0.25">
      <c r="A282" s="2" t="s">
        <v>194</v>
      </c>
      <c r="B282" s="2" t="s">
        <v>195</v>
      </c>
      <c r="C282" s="2">
        <v>9</v>
      </c>
      <c r="D282" s="2">
        <v>0</v>
      </c>
      <c r="E282" s="8">
        <v>-9.1854034571279497E-2</v>
      </c>
      <c r="F282" s="8">
        <v>0.91308679170026197</v>
      </c>
      <c r="G282" s="2">
        <v>-5.9845559845153731E-2</v>
      </c>
      <c r="H282" s="2">
        <v>-2.6346718903036307E-2</v>
      </c>
    </row>
    <row r="283" spans="1:8" x14ac:dyDescent="0.25">
      <c r="A283" s="2" t="s">
        <v>194</v>
      </c>
      <c r="B283" s="2" t="s">
        <v>195</v>
      </c>
      <c r="C283" s="2">
        <v>10</v>
      </c>
      <c r="D283" s="2">
        <v>1</v>
      </c>
      <c r="E283" s="8">
        <v>-2.1811667397559499E-2</v>
      </c>
      <c r="F283" s="8">
        <v>0.47842342186418702</v>
      </c>
      <c r="G283" s="2">
        <v>-9.2402464072824791E-3</v>
      </c>
      <c r="H283" s="2">
        <v>-5.1637997518693898E-3</v>
      </c>
    </row>
    <row r="284" spans="1:8" x14ac:dyDescent="0.25">
      <c r="A284" s="2" t="s">
        <v>196</v>
      </c>
      <c r="B284" s="2" t="s">
        <v>197</v>
      </c>
      <c r="C284" s="2">
        <v>8</v>
      </c>
      <c r="D284" s="2">
        <v>1</v>
      </c>
      <c r="E284" s="8">
        <v>-0.103339093479248</v>
      </c>
      <c r="F284" s="8">
        <v>0.39029354032452102</v>
      </c>
      <c r="G284" s="2">
        <v>-1.3354700854754688E-2</v>
      </c>
      <c r="H284" s="2">
        <v>-1.1928429423459255E-2</v>
      </c>
    </row>
    <row r="285" spans="1:8" x14ac:dyDescent="0.25">
      <c r="A285" s="2" t="s">
        <v>196</v>
      </c>
      <c r="B285" s="2" t="s">
        <v>197</v>
      </c>
      <c r="C285" s="2">
        <v>9</v>
      </c>
      <c r="D285" s="2">
        <v>0</v>
      </c>
      <c r="E285" s="8">
        <v>-9.8061533740338006E-2</v>
      </c>
      <c r="F285" s="8">
        <v>0.50131169935821096</v>
      </c>
      <c r="G285" s="2">
        <v>-6.6053059010800635E-2</v>
      </c>
      <c r="H285" s="2">
        <v>-6.0663983903420544E-2</v>
      </c>
    </row>
    <row r="286" spans="1:8" x14ac:dyDescent="0.25">
      <c r="A286" s="2" t="s">
        <v>196</v>
      </c>
      <c r="B286" s="2" t="s">
        <v>197</v>
      </c>
      <c r="C286" s="2">
        <v>10</v>
      </c>
      <c r="D286" s="2">
        <v>0</v>
      </c>
      <c r="E286" s="8">
        <v>-2.55016653144121E-2</v>
      </c>
      <c r="F286" s="8">
        <v>0.61872615818593801</v>
      </c>
      <c r="G286" s="2">
        <v>5.7391304341808037E-2</v>
      </c>
      <c r="H286" s="2">
        <v>5.1301274499303905E-2</v>
      </c>
    </row>
    <row r="287" spans="1:8" x14ac:dyDescent="0.25">
      <c r="A287" s="2" t="s">
        <v>198</v>
      </c>
      <c r="B287" s="2" t="s">
        <v>199</v>
      </c>
      <c r="C287" s="2">
        <v>8</v>
      </c>
      <c r="D287" s="2">
        <v>0</v>
      </c>
      <c r="E287" s="8">
        <v>-6.9368817470755406E-2</v>
      </c>
      <c r="F287" s="8">
        <v>0.42401033230896701</v>
      </c>
      <c r="G287" s="2">
        <v>4.059829059775636E-2</v>
      </c>
      <c r="H287" s="2">
        <v>2.6165413533834541E-2</v>
      </c>
    </row>
    <row r="288" spans="1:8" x14ac:dyDescent="0.25">
      <c r="A288" s="2" t="s">
        <v>198</v>
      </c>
      <c r="B288" s="2" t="s">
        <v>199</v>
      </c>
      <c r="C288" s="2">
        <v>9</v>
      </c>
      <c r="D288" s="2">
        <v>0</v>
      </c>
      <c r="E288" s="8">
        <v>-7.8415045567608893E-2</v>
      </c>
      <c r="F288" s="8">
        <v>0.45390942514313098</v>
      </c>
      <c r="G288" s="2">
        <v>-4.6406570847420399E-2</v>
      </c>
      <c r="H288" s="2">
        <v>-4.8505275498241525E-2</v>
      </c>
    </row>
    <row r="289" spans="1:8" x14ac:dyDescent="0.25">
      <c r="A289" s="2" t="s">
        <v>198</v>
      </c>
      <c r="B289" s="2" t="s">
        <v>199</v>
      </c>
      <c r="C289" s="2">
        <v>10</v>
      </c>
      <c r="D289" s="2">
        <v>0</v>
      </c>
      <c r="E289" s="8">
        <v>-1.2864086016830601E-3</v>
      </c>
      <c r="F289" s="8">
        <v>0.32254616632625399</v>
      </c>
      <c r="G289" s="2">
        <v>4.737295437503712E-3</v>
      </c>
      <c r="H289" s="2">
        <v>1.3707069151393839E-2</v>
      </c>
    </row>
    <row r="290" spans="1:8" x14ac:dyDescent="0.25">
      <c r="A290" s="2" t="s">
        <v>200</v>
      </c>
      <c r="B290" s="2" t="s">
        <v>201</v>
      </c>
      <c r="C290" s="2">
        <v>8</v>
      </c>
      <c r="D290" s="2">
        <v>0</v>
      </c>
      <c r="E290" s="8">
        <v>-5.5226584226842297E-2</v>
      </c>
      <c r="F290" s="8">
        <v>0.40124330583349499</v>
      </c>
      <c r="G290" s="2">
        <v>5.6716417911373697E-2</v>
      </c>
      <c r="H290" s="2">
        <v>5.6687837709735595E-2</v>
      </c>
    </row>
    <row r="291" spans="1:8" x14ac:dyDescent="0.25">
      <c r="A291" s="2" t="s">
        <v>200</v>
      </c>
      <c r="B291" s="2" t="s">
        <v>201</v>
      </c>
      <c r="C291" s="2">
        <v>9</v>
      </c>
      <c r="D291" s="2">
        <v>1</v>
      </c>
      <c r="E291" s="8">
        <v>0.225053672166936</v>
      </c>
      <c r="F291" s="8">
        <v>0.97146751577144097</v>
      </c>
      <c r="G291" s="2">
        <v>0.2570621469017757</v>
      </c>
      <c r="H291" s="2">
        <v>0.10711402170987705</v>
      </c>
    </row>
    <row r="292" spans="1:8" x14ac:dyDescent="0.25">
      <c r="A292" s="2" t="s">
        <v>200</v>
      </c>
      <c r="B292" s="2" t="s">
        <v>201</v>
      </c>
      <c r="C292" s="2">
        <v>10</v>
      </c>
      <c r="D292" s="2">
        <v>2</v>
      </c>
      <c r="E292" s="8">
        <v>0.100005581062399</v>
      </c>
      <c r="F292" s="8">
        <v>0.59897277263072801</v>
      </c>
      <c r="G292" s="2">
        <v>6.7415730334705035E-2</v>
      </c>
      <c r="H292" s="2">
        <v>0.17356778218944977</v>
      </c>
    </row>
    <row r="293" spans="1:8" x14ac:dyDescent="0.25">
      <c r="A293" s="2" t="s">
        <v>202</v>
      </c>
      <c r="B293" s="2" t="s">
        <v>203</v>
      </c>
      <c r="C293" s="2">
        <v>8</v>
      </c>
      <c r="D293" s="2">
        <v>2</v>
      </c>
      <c r="E293" s="8">
        <v>0.29407469962420102</v>
      </c>
      <c r="F293" s="8">
        <v>25.776711314488399</v>
      </c>
      <c r="G293" s="2">
        <v>0.41212341197832458</v>
      </c>
      <c r="H293" s="2">
        <v>0.36384650653353379</v>
      </c>
    </row>
    <row r="294" spans="1:8" x14ac:dyDescent="0.25">
      <c r="A294" s="2" t="s">
        <v>202</v>
      </c>
      <c r="B294" s="2" t="s">
        <v>203</v>
      </c>
      <c r="C294" s="2">
        <v>9</v>
      </c>
      <c r="D294" s="2">
        <v>1</v>
      </c>
      <c r="E294" s="8">
        <v>0.26657264803800601</v>
      </c>
      <c r="F294" s="8">
        <v>32.5113086419232</v>
      </c>
      <c r="G294" s="2">
        <v>0.29858112276552995</v>
      </c>
      <c r="H294" s="2">
        <v>0.33199796426253531</v>
      </c>
    </row>
    <row r="295" spans="1:8" x14ac:dyDescent="0.25">
      <c r="A295" s="2" t="s">
        <v>202</v>
      </c>
      <c r="B295" s="2" t="s">
        <v>203</v>
      </c>
      <c r="C295" s="2">
        <v>10</v>
      </c>
      <c r="D295" s="2">
        <v>0</v>
      </c>
      <c r="E295" s="8">
        <v>-9.2116350845755604E-2</v>
      </c>
      <c r="F295" s="8">
        <v>9.5036685254261997</v>
      </c>
      <c r="G295" s="2">
        <v>-1.421219319133387E-2</v>
      </c>
      <c r="H295" s="2">
        <v>-7.3451159921199605E-2</v>
      </c>
    </row>
    <row r="296" spans="1:8" x14ac:dyDescent="0.25">
      <c r="A296" s="2" t="s">
        <v>204</v>
      </c>
      <c r="B296" s="2" t="s">
        <v>205</v>
      </c>
      <c r="C296" s="2">
        <v>8</v>
      </c>
      <c r="D296" s="2">
        <v>0</v>
      </c>
      <c r="E296" s="8">
        <v>-9.4654229955674699E-2</v>
      </c>
      <c r="F296" s="8">
        <v>6.9446793611059807E-2</v>
      </c>
      <c r="G296" s="2">
        <v>8.6848635235732118E-3</v>
      </c>
      <c r="H296" s="2">
        <v>8.7061668681984224E-3</v>
      </c>
    </row>
    <row r="297" spans="1:8" x14ac:dyDescent="0.25">
      <c r="A297" s="2" t="s">
        <v>204</v>
      </c>
      <c r="B297" s="2" t="s">
        <v>205</v>
      </c>
      <c r="C297" s="2">
        <v>9</v>
      </c>
      <c r="D297" s="2">
        <v>0</v>
      </c>
      <c r="E297" s="8">
        <v>-6.6448819129163894E-2</v>
      </c>
      <c r="F297" s="8">
        <v>9.0036067808925493E-2</v>
      </c>
      <c r="G297" s="2">
        <v>-3.4440344403443908E-2</v>
      </c>
      <c r="H297" s="2">
        <v>-5.6581155598177918E-2</v>
      </c>
    </row>
    <row r="298" spans="1:8" x14ac:dyDescent="0.25">
      <c r="A298" s="2" t="s">
        <v>204</v>
      </c>
      <c r="B298" s="2" t="s">
        <v>205</v>
      </c>
      <c r="C298" s="2">
        <v>10</v>
      </c>
      <c r="D298" s="2">
        <v>0</v>
      </c>
      <c r="E298" s="8">
        <v>1.2744434565584301E-2</v>
      </c>
      <c r="F298" s="8">
        <v>5.4604190746304598E-2</v>
      </c>
      <c r="G298" s="2">
        <v>3.057324840764325E-2</v>
      </c>
      <c r="H298" s="2">
        <v>3.710292249047014E-2</v>
      </c>
    </row>
    <row r="299" spans="1:8" x14ac:dyDescent="0.25">
      <c r="A299" s="2" t="s">
        <v>206</v>
      </c>
      <c r="B299" s="2" t="s">
        <v>207</v>
      </c>
      <c r="C299" s="2">
        <v>8</v>
      </c>
      <c r="D299" s="2">
        <v>0</v>
      </c>
      <c r="E299" s="8">
        <v>2.1452919831900098E-2</v>
      </c>
      <c r="F299" s="8">
        <v>0.61301285623122304</v>
      </c>
      <c r="G299" s="2">
        <v>0.12729294051261508</v>
      </c>
      <c r="H299" s="2">
        <v>0.12730225373311668</v>
      </c>
    </row>
    <row r="300" spans="1:8" x14ac:dyDescent="0.25">
      <c r="A300" s="2" t="s">
        <v>206</v>
      </c>
      <c r="B300" s="2" t="s">
        <v>207</v>
      </c>
      <c r="C300" s="2">
        <v>9</v>
      </c>
      <c r="D300" s="2">
        <v>0</v>
      </c>
      <c r="E300" s="8">
        <v>-3.9019658499800502E-3</v>
      </c>
      <c r="F300" s="8">
        <v>0.47323904615447199</v>
      </c>
      <c r="G300" s="2">
        <v>2.810650888173603E-2</v>
      </c>
      <c r="H300" s="2">
        <v>-6.7952636941779984E-2</v>
      </c>
    </row>
    <row r="301" spans="1:8" x14ac:dyDescent="0.25">
      <c r="A301" s="2" t="s">
        <v>206</v>
      </c>
      <c r="B301" s="2" t="s">
        <v>207</v>
      </c>
      <c r="C301" s="2">
        <v>10</v>
      </c>
      <c r="D301" s="2">
        <v>0</v>
      </c>
      <c r="E301" s="8">
        <v>0.189454022309402</v>
      </c>
      <c r="F301" s="8">
        <v>1.1446502805249701</v>
      </c>
      <c r="G301" s="2">
        <v>0.11366906474650601</v>
      </c>
      <c r="H301" s="2">
        <v>0.18532061673012404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2"/>
  <sheetViews>
    <sheetView tabSelected="1" workbookViewId="0">
      <selection activeCell="W11" sqref="W11"/>
    </sheetView>
  </sheetViews>
  <sheetFormatPr defaultColWidth="9" defaultRowHeight="14.4" x14ac:dyDescent="0.25"/>
  <sheetData>
    <row r="1" spans="1:21" ht="17.399999999999999" x14ac:dyDescent="0.25">
      <c r="A1" s="23" t="s">
        <v>223</v>
      </c>
      <c r="B1" s="23" t="s">
        <v>224</v>
      </c>
      <c r="C1" s="23" t="s">
        <v>225</v>
      </c>
      <c r="D1" s="25" t="s">
        <v>226</v>
      </c>
      <c r="E1" s="27" t="s">
        <v>227</v>
      </c>
      <c r="F1" s="28" t="s">
        <v>228</v>
      </c>
      <c r="G1" s="16" t="s">
        <v>229</v>
      </c>
      <c r="H1" s="18" t="s">
        <v>230</v>
      </c>
      <c r="I1" s="18" t="s">
        <v>231</v>
      </c>
      <c r="J1" s="18"/>
      <c r="K1" s="18"/>
      <c r="L1" s="18"/>
      <c r="M1" s="18"/>
      <c r="N1" s="18"/>
      <c r="O1" s="20" t="s">
        <v>232</v>
      </c>
      <c r="P1" s="21"/>
      <c r="Q1" s="21"/>
      <c r="R1" s="21"/>
      <c r="S1" s="21"/>
      <c r="T1" s="21"/>
      <c r="U1" s="22"/>
    </row>
    <row r="2" spans="1:21" ht="17.399999999999999" x14ac:dyDescent="0.25">
      <c r="A2" s="24"/>
      <c r="B2" s="24"/>
      <c r="C2" s="24"/>
      <c r="D2" s="26"/>
      <c r="E2" s="19"/>
      <c r="F2" s="29"/>
      <c r="G2" s="17"/>
      <c r="H2" s="19"/>
      <c r="I2" s="9" t="s">
        <v>233</v>
      </c>
      <c r="J2" s="9" t="s">
        <v>234</v>
      </c>
      <c r="K2" s="9" t="s">
        <v>235</v>
      </c>
      <c r="L2" s="9" t="s">
        <v>236</v>
      </c>
      <c r="M2" s="9" t="s">
        <v>237</v>
      </c>
      <c r="N2" s="9" t="s">
        <v>238</v>
      </c>
      <c r="O2" s="9" t="s">
        <v>239</v>
      </c>
      <c r="P2" s="9" t="s">
        <v>240</v>
      </c>
      <c r="Q2" s="9" t="s">
        <v>241</v>
      </c>
      <c r="R2" s="9" t="s">
        <v>242</v>
      </c>
      <c r="S2" s="10" t="s">
        <v>243</v>
      </c>
      <c r="T2" s="10" t="s">
        <v>244</v>
      </c>
      <c r="U2" s="11" t="s">
        <v>245</v>
      </c>
    </row>
    <row r="3" spans="1:21" x14ac:dyDescent="0.25">
      <c r="A3" s="12" t="s">
        <v>246</v>
      </c>
      <c r="B3" s="13" t="s">
        <v>6</v>
      </c>
      <c r="C3" s="13" t="s">
        <v>247</v>
      </c>
      <c r="D3" s="12">
        <v>5.5</v>
      </c>
      <c r="E3" s="13" t="s">
        <v>248</v>
      </c>
      <c r="F3" s="13" t="s">
        <v>249</v>
      </c>
      <c r="G3" s="12">
        <v>85697</v>
      </c>
      <c r="H3" s="12">
        <v>7726</v>
      </c>
      <c r="I3" s="12">
        <v>5.28</v>
      </c>
      <c r="J3" s="12">
        <v>7.31</v>
      </c>
      <c r="K3" s="12">
        <v>15.32</v>
      </c>
      <c r="L3" s="12">
        <v>23.23</v>
      </c>
      <c r="M3" s="12">
        <v>48.86</v>
      </c>
      <c r="N3" s="12">
        <f t="shared" ref="N3:N66" si="0">SUM(I3*0.45,J3*0.25,K3*0.15,L3*0.1,M3*0.05)</f>
        <v>11.2675</v>
      </c>
      <c r="O3" s="12">
        <v>0.88300000000000001</v>
      </c>
      <c r="P3" s="12">
        <v>2.7E-2</v>
      </c>
      <c r="Q3" s="14">
        <v>0.09</v>
      </c>
      <c r="R3" s="12">
        <f t="shared" ref="R3:R66" si="1">SUM(S3*(1+U3)*100)</f>
        <v>56.648898320000008</v>
      </c>
      <c r="S3" s="12">
        <f t="shared" ref="S3:S66" si="2">SUM(O3*0.5,P3*0.3,Q3*0.2)</f>
        <v>0.46760000000000002</v>
      </c>
      <c r="T3" s="12">
        <f t="shared" ref="T3:T66" si="3">SUM(O3*O3,P3*P3,Q3*Q3)</f>
        <v>0.78851799999999994</v>
      </c>
      <c r="U3" s="12">
        <f t="shared" ref="U3:U66" si="4">SUM(1-T3)</f>
        <v>0.21148200000000006</v>
      </c>
    </row>
    <row r="4" spans="1:21" x14ac:dyDescent="0.25">
      <c r="A4" s="12" t="s">
        <v>250</v>
      </c>
      <c r="B4" s="13" t="s">
        <v>8</v>
      </c>
      <c r="C4" s="13" t="s">
        <v>247</v>
      </c>
      <c r="D4" s="12">
        <v>6</v>
      </c>
      <c r="E4" s="13" t="s">
        <v>251</v>
      </c>
      <c r="F4" s="13" t="s">
        <v>252</v>
      </c>
      <c r="G4" s="12">
        <v>17871</v>
      </c>
      <c r="H4" s="12">
        <v>1581</v>
      </c>
      <c r="I4" s="12">
        <v>2.86</v>
      </c>
      <c r="J4" s="12">
        <v>5.48</v>
      </c>
      <c r="K4" s="12">
        <v>6.1</v>
      </c>
      <c r="L4" s="12">
        <v>21.49</v>
      </c>
      <c r="M4" s="12">
        <v>64.070000000000007</v>
      </c>
      <c r="N4" s="12">
        <f t="shared" si="0"/>
        <v>8.9245000000000001</v>
      </c>
      <c r="O4" s="12">
        <v>0.90200000000000002</v>
      </c>
      <c r="P4" s="12">
        <v>0.01</v>
      </c>
      <c r="Q4" s="12">
        <v>8.7999999999999995E-2</v>
      </c>
      <c r="R4" s="12">
        <f t="shared" si="1"/>
        <v>55.580512320000011</v>
      </c>
      <c r="S4" s="12">
        <f t="shared" si="2"/>
        <v>0.47160000000000002</v>
      </c>
      <c r="T4" s="12">
        <f t="shared" si="3"/>
        <v>0.82144799999999996</v>
      </c>
      <c r="U4" s="12">
        <f t="shared" si="4"/>
        <v>0.17855200000000004</v>
      </c>
    </row>
    <row r="5" spans="1:21" x14ac:dyDescent="0.25">
      <c r="A5" s="12" t="s">
        <v>253</v>
      </c>
      <c r="B5" s="13" t="s">
        <v>10</v>
      </c>
      <c r="C5" s="13" t="s">
        <v>247</v>
      </c>
      <c r="D5" s="12">
        <v>6</v>
      </c>
      <c r="E5" s="13" t="s">
        <v>254</v>
      </c>
      <c r="F5" s="13" t="s">
        <v>255</v>
      </c>
      <c r="G5" s="12">
        <v>80440</v>
      </c>
      <c r="H5" s="12">
        <v>1063</v>
      </c>
      <c r="I5" s="12">
        <v>0.88</v>
      </c>
      <c r="J5" s="12">
        <v>3.52</v>
      </c>
      <c r="K5" s="12">
        <v>15.079999999999998</v>
      </c>
      <c r="L5" s="12">
        <v>25.619999999999997</v>
      </c>
      <c r="M5" s="12">
        <v>54.900000000000006</v>
      </c>
      <c r="N5" s="12">
        <f t="shared" si="0"/>
        <v>8.8450000000000006</v>
      </c>
      <c r="O5" s="12">
        <v>0.622</v>
      </c>
      <c r="P5" s="12">
        <v>3.7999999999999999E-2</v>
      </c>
      <c r="Q5" s="14">
        <v>0.34</v>
      </c>
      <c r="R5" s="12">
        <f t="shared" si="1"/>
        <v>58.406650880000001</v>
      </c>
      <c r="S5" s="12">
        <f t="shared" si="2"/>
        <v>0.39040000000000002</v>
      </c>
      <c r="T5" s="12">
        <f t="shared" si="3"/>
        <v>0.50392800000000004</v>
      </c>
      <c r="U5" s="12">
        <f t="shared" si="4"/>
        <v>0.49607199999999996</v>
      </c>
    </row>
    <row r="6" spans="1:21" x14ac:dyDescent="0.25">
      <c r="A6" s="12" t="s">
        <v>256</v>
      </c>
      <c r="B6" s="13" t="s">
        <v>12</v>
      </c>
      <c r="C6" s="13" t="s">
        <v>247</v>
      </c>
      <c r="D6" s="12">
        <v>10.5</v>
      </c>
      <c r="E6" s="13" t="s">
        <v>257</v>
      </c>
      <c r="F6" s="13" t="s">
        <v>258</v>
      </c>
      <c r="G6" s="12">
        <v>142520</v>
      </c>
      <c r="H6" s="12">
        <v>7654</v>
      </c>
      <c r="I6" s="12">
        <v>3.1</v>
      </c>
      <c r="J6" s="12">
        <v>6.34</v>
      </c>
      <c r="K6" s="12">
        <v>8.6300000000000008</v>
      </c>
      <c r="L6" s="12">
        <v>29.48</v>
      </c>
      <c r="M6" s="12">
        <v>52.45</v>
      </c>
      <c r="N6" s="12">
        <f t="shared" si="0"/>
        <v>9.8450000000000006</v>
      </c>
      <c r="O6" s="12">
        <v>0.877</v>
      </c>
      <c r="P6" s="12">
        <v>2.1000000000000001E-2</v>
      </c>
      <c r="Q6" s="12">
        <v>0.10199999999999999</v>
      </c>
      <c r="R6" s="12">
        <f t="shared" si="1"/>
        <v>56.755609519999993</v>
      </c>
      <c r="S6" s="12">
        <f t="shared" si="2"/>
        <v>0.46519999999999995</v>
      </c>
      <c r="T6" s="12">
        <f t="shared" si="3"/>
        <v>0.77997399999999995</v>
      </c>
      <c r="U6" s="12">
        <f t="shared" si="4"/>
        <v>0.22002600000000005</v>
      </c>
    </row>
    <row r="7" spans="1:21" x14ac:dyDescent="0.25">
      <c r="A7" s="12" t="s">
        <v>259</v>
      </c>
      <c r="B7" s="13" t="s">
        <v>14</v>
      </c>
      <c r="C7" s="13" t="s">
        <v>260</v>
      </c>
      <c r="D7" s="12">
        <v>11</v>
      </c>
      <c r="E7" s="13" t="s">
        <v>261</v>
      </c>
      <c r="F7" s="13" t="s">
        <v>262</v>
      </c>
      <c r="G7" s="12">
        <v>84824</v>
      </c>
      <c r="H7" s="12">
        <v>2050</v>
      </c>
      <c r="I7" s="12">
        <v>1.89</v>
      </c>
      <c r="J7" s="12">
        <v>4.41</v>
      </c>
      <c r="K7" s="12">
        <v>2.81</v>
      </c>
      <c r="L7" s="12">
        <v>16.04</v>
      </c>
      <c r="M7" s="12">
        <v>74.850000000000009</v>
      </c>
      <c r="N7" s="12">
        <f t="shared" si="0"/>
        <v>7.7210000000000001</v>
      </c>
      <c r="O7" s="12">
        <v>0.64800000000000002</v>
      </c>
      <c r="P7" s="12">
        <v>5.8999999999999997E-2</v>
      </c>
      <c r="Q7" s="12">
        <v>0.29299999999999998</v>
      </c>
      <c r="R7" s="12">
        <f t="shared" si="1"/>
        <v>59.675362980000003</v>
      </c>
      <c r="S7" s="12">
        <f t="shared" si="2"/>
        <v>0.40029999999999999</v>
      </c>
      <c r="T7" s="12">
        <f t="shared" si="3"/>
        <v>0.50923399999999996</v>
      </c>
      <c r="U7" s="12">
        <f t="shared" si="4"/>
        <v>0.49076600000000004</v>
      </c>
    </row>
    <row r="8" spans="1:21" x14ac:dyDescent="0.25">
      <c r="A8" s="12" t="s">
        <v>263</v>
      </c>
      <c r="B8" s="13" t="s">
        <v>16</v>
      </c>
      <c r="C8" s="13" t="s">
        <v>247</v>
      </c>
      <c r="D8" s="12">
        <v>12.5</v>
      </c>
      <c r="E8" s="13" t="s">
        <v>264</v>
      </c>
      <c r="F8" s="13" t="s">
        <v>265</v>
      </c>
      <c r="G8" s="12">
        <v>52707</v>
      </c>
      <c r="H8" s="12">
        <v>7824</v>
      </c>
      <c r="I8" s="12">
        <v>6.08</v>
      </c>
      <c r="J8" s="12">
        <v>10.9</v>
      </c>
      <c r="K8" s="12">
        <v>12.989999999999998</v>
      </c>
      <c r="L8" s="12">
        <v>27.6</v>
      </c>
      <c r="M8" s="12">
        <v>42.43</v>
      </c>
      <c r="N8" s="12">
        <f t="shared" si="0"/>
        <v>12.291</v>
      </c>
      <c r="O8" s="12">
        <v>0.876</v>
      </c>
      <c r="P8" s="12">
        <v>4.2999999999999997E-2</v>
      </c>
      <c r="Q8" s="12">
        <v>8.1000000000000003E-2</v>
      </c>
      <c r="R8" s="12">
        <f t="shared" si="1"/>
        <v>57.183035939999996</v>
      </c>
      <c r="S8" s="12">
        <f t="shared" si="2"/>
        <v>0.46710000000000002</v>
      </c>
      <c r="T8" s="12">
        <f t="shared" si="3"/>
        <v>0.77578599999999998</v>
      </c>
      <c r="U8" s="12">
        <f t="shared" si="4"/>
        <v>0.22421400000000002</v>
      </c>
    </row>
    <row r="9" spans="1:21" x14ac:dyDescent="0.25">
      <c r="A9" s="12" t="s">
        <v>266</v>
      </c>
      <c r="B9" s="13" t="s">
        <v>18</v>
      </c>
      <c r="C9" s="13" t="s">
        <v>247</v>
      </c>
      <c r="D9" s="12">
        <v>14</v>
      </c>
      <c r="E9" s="13" t="s">
        <v>267</v>
      </c>
      <c r="F9" s="13" t="s">
        <v>268</v>
      </c>
      <c r="G9" s="12">
        <v>129530</v>
      </c>
      <c r="H9" s="12">
        <v>7338</v>
      </c>
      <c r="I9" s="12">
        <v>2.48</v>
      </c>
      <c r="J9" s="12">
        <v>6.0699999999999994</v>
      </c>
      <c r="K9" s="12">
        <v>11.65</v>
      </c>
      <c r="L9" s="12">
        <v>20.82</v>
      </c>
      <c r="M9" s="12">
        <v>58.98</v>
      </c>
      <c r="N9" s="12">
        <f t="shared" si="0"/>
        <v>9.4120000000000008</v>
      </c>
      <c r="O9" s="12">
        <v>0.86399999999999999</v>
      </c>
      <c r="P9" s="12">
        <v>2.4E-2</v>
      </c>
      <c r="Q9" s="12">
        <v>0.112</v>
      </c>
      <c r="R9" s="12">
        <f t="shared" si="1"/>
        <v>57.256125440000005</v>
      </c>
      <c r="S9" s="12">
        <f t="shared" si="2"/>
        <v>0.46160000000000001</v>
      </c>
      <c r="T9" s="12">
        <f t="shared" si="3"/>
        <v>0.75961599999999996</v>
      </c>
      <c r="U9" s="12">
        <f t="shared" si="4"/>
        <v>0.24038400000000004</v>
      </c>
    </row>
    <row r="10" spans="1:21" x14ac:dyDescent="0.25">
      <c r="A10" s="12" t="s">
        <v>269</v>
      </c>
      <c r="B10" s="13" t="s">
        <v>20</v>
      </c>
      <c r="C10" s="13" t="s">
        <v>247</v>
      </c>
      <c r="D10" s="12">
        <v>16</v>
      </c>
      <c r="E10" s="13" t="s">
        <v>270</v>
      </c>
      <c r="F10" s="13" t="s">
        <v>271</v>
      </c>
      <c r="G10" s="12">
        <v>15549</v>
      </c>
      <c r="H10" s="12">
        <v>665</v>
      </c>
      <c r="I10" s="12">
        <v>2.36</v>
      </c>
      <c r="J10" s="12">
        <v>2.9000000000000004</v>
      </c>
      <c r="K10" s="12">
        <v>3.64</v>
      </c>
      <c r="L10" s="12">
        <v>14.2</v>
      </c>
      <c r="M10" s="12">
        <v>76.900000000000006</v>
      </c>
      <c r="N10" s="12">
        <f t="shared" si="0"/>
        <v>7.5980000000000008</v>
      </c>
      <c r="O10" s="12">
        <v>0.66900000000000004</v>
      </c>
      <c r="P10" s="12">
        <v>4.1000000000000002E-2</v>
      </c>
      <c r="Q10" s="14">
        <v>0.28999999999999998</v>
      </c>
      <c r="R10" s="12">
        <f t="shared" si="1"/>
        <v>59.370315839999996</v>
      </c>
      <c r="S10" s="12">
        <f t="shared" si="2"/>
        <v>0.40479999999999999</v>
      </c>
      <c r="T10" s="12">
        <f t="shared" si="3"/>
        <v>0.53334199999999998</v>
      </c>
      <c r="U10" s="12">
        <f t="shared" si="4"/>
        <v>0.46665800000000002</v>
      </c>
    </row>
    <row r="11" spans="1:21" x14ac:dyDescent="0.25">
      <c r="A11" s="12" t="s">
        <v>272</v>
      </c>
      <c r="B11" s="13" t="s">
        <v>22</v>
      </c>
      <c r="C11" s="13" t="s">
        <v>260</v>
      </c>
      <c r="D11" s="12">
        <v>18</v>
      </c>
      <c r="E11" s="13" t="s">
        <v>273</v>
      </c>
      <c r="F11" s="13" t="s">
        <v>274</v>
      </c>
      <c r="G11" s="12">
        <v>38624</v>
      </c>
      <c r="H11" s="12">
        <v>1241</v>
      </c>
      <c r="I11" s="12">
        <v>1.28</v>
      </c>
      <c r="J11" s="12">
        <v>3.35</v>
      </c>
      <c r="K11" s="12">
        <v>3.1300000000000003</v>
      </c>
      <c r="L11" s="12">
        <v>14.37</v>
      </c>
      <c r="M11" s="12">
        <v>47.72</v>
      </c>
      <c r="N11" s="12">
        <f t="shared" si="0"/>
        <v>5.7060000000000004</v>
      </c>
      <c r="O11" s="12">
        <v>0.69099999999999995</v>
      </c>
      <c r="P11" s="12">
        <v>3.6999999999999998E-2</v>
      </c>
      <c r="Q11" s="12">
        <v>0.27200000000000002</v>
      </c>
      <c r="R11" s="12">
        <f t="shared" si="1"/>
        <v>59.478522600000005</v>
      </c>
      <c r="S11" s="12">
        <f t="shared" si="2"/>
        <v>0.41099999999999998</v>
      </c>
      <c r="T11" s="12">
        <f t="shared" si="3"/>
        <v>0.55283399999999994</v>
      </c>
      <c r="U11" s="12">
        <f t="shared" si="4"/>
        <v>0.44716600000000006</v>
      </c>
    </row>
    <row r="12" spans="1:21" x14ac:dyDescent="0.25">
      <c r="A12" s="12" t="s">
        <v>275</v>
      </c>
      <c r="B12" s="13" t="s">
        <v>26</v>
      </c>
      <c r="C12" s="13" t="s">
        <v>260</v>
      </c>
      <c r="D12" s="12">
        <v>19.5</v>
      </c>
      <c r="E12" s="13" t="s">
        <v>276</v>
      </c>
      <c r="F12" s="13" t="s">
        <v>277</v>
      </c>
      <c r="G12" s="12">
        <v>580770</v>
      </c>
      <c r="H12" s="12">
        <v>7657</v>
      </c>
      <c r="I12" s="15">
        <v>0.2</v>
      </c>
      <c r="J12" s="12">
        <v>0.78</v>
      </c>
      <c r="K12" s="12">
        <v>0.94</v>
      </c>
      <c r="L12" s="12">
        <v>68.599999999999994</v>
      </c>
      <c r="M12" s="12">
        <v>29.48</v>
      </c>
      <c r="N12" s="12">
        <f t="shared" si="0"/>
        <v>8.76</v>
      </c>
      <c r="O12" s="12">
        <v>0.24199999999999999</v>
      </c>
      <c r="P12" s="12">
        <v>5.7000000000000002E-2</v>
      </c>
      <c r="Q12" s="12">
        <v>0.70099999999999996</v>
      </c>
      <c r="R12" s="12">
        <f t="shared" si="1"/>
        <v>40.264054380000005</v>
      </c>
      <c r="S12" s="12">
        <f t="shared" si="2"/>
        <v>0.27829999999999999</v>
      </c>
      <c r="T12" s="12">
        <f t="shared" si="3"/>
        <v>0.55321399999999987</v>
      </c>
      <c r="U12" s="12">
        <f t="shared" si="4"/>
        <v>0.44678600000000013</v>
      </c>
    </row>
    <row r="13" spans="1:21" x14ac:dyDescent="0.25">
      <c r="A13" s="12" t="s">
        <v>278</v>
      </c>
      <c r="B13" s="13" t="s">
        <v>24</v>
      </c>
      <c r="C13" s="13" t="s">
        <v>247</v>
      </c>
      <c r="D13" s="12">
        <v>19.5</v>
      </c>
      <c r="E13" s="13" t="s">
        <v>279</v>
      </c>
      <c r="F13" s="13" t="s">
        <v>280</v>
      </c>
      <c r="G13" s="12">
        <v>56258</v>
      </c>
      <c r="H13" s="12">
        <v>7321</v>
      </c>
      <c r="I13" s="12">
        <v>4.67</v>
      </c>
      <c r="J13" s="12">
        <v>10.79</v>
      </c>
      <c r="K13" s="12">
        <v>9.6199999999999992</v>
      </c>
      <c r="L13" s="12">
        <v>27.66</v>
      </c>
      <c r="M13" s="12">
        <v>47.260000000000005</v>
      </c>
      <c r="N13" s="12">
        <f t="shared" si="0"/>
        <v>11.370999999999999</v>
      </c>
      <c r="O13" s="12">
        <v>0.85399999999999998</v>
      </c>
      <c r="P13" s="12">
        <v>4.1000000000000002E-2</v>
      </c>
      <c r="Q13" s="12">
        <v>0.105</v>
      </c>
      <c r="R13" s="12">
        <f t="shared" si="1"/>
        <v>57.904727339999994</v>
      </c>
      <c r="S13" s="12">
        <f t="shared" si="2"/>
        <v>0.46029999999999999</v>
      </c>
      <c r="T13" s="12">
        <f t="shared" si="3"/>
        <v>0.74202199999999996</v>
      </c>
      <c r="U13" s="12">
        <f t="shared" si="4"/>
        <v>0.25797800000000004</v>
      </c>
    </row>
    <row r="14" spans="1:21" x14ac:dyDescent="0.25">
      <c r="A14" s="12" t="s">
        <v>281</v>
      </c>
      <c r="B14" s="13" t="s">
        <v>28</v>
      </c>
      <c r="C14" s="13" t="s">
        <v>247</v>
      </c>
      <c r="D14" s="12">
        <v>22</v>
      </c>
      <c r="E14" s="13" t="s">
        <v>282</v>
      </c>
      <c r="F14" s="13" t="s">
        <v>283</v>
      </c>
      <c r="G14" s="12">
        <v>8943</v>
      </c>
      <c r="H14" s="12">
        <v>616</v>
      </c>
      <c r="I14" s="12">
        <v>4.18</v>
      </c>
      <c r="J14" s="12">
        <v>6.81</v>
      </c>
      <c r="K14" s="12">
        <v>9.91</v>
      </c>
      <c r="L14" s="12">
        <v>25.27</v>
      </c>
      <c r="M14" s="12">
        <v>53.83</v>
      </c>
      <c r="N14" s="12">
        <f t="shared" si="0"/>
        <v>10.288500000000001</v>
      </c>
      <c r="O14" s="12">
        <v>0.88</v>
      </c>
      <c r="P14" s="12">
        <v>8.9999999999999993E-3</v>
      </c>
      <c r="Q14" s="12">
        <v>0.111</v>
      </c>
      <c r="R14" s="12">
        <f t="shared" si="1"/>
        <v>56.401575019999996</v>
      </c>
      <c r="S14" s="12">
        <f t="shared" si="2"/>
        <v>0.46489999999999998</v>
      </c>
      <c r="T14" s="12">
        <f t="shared" si="3"/>
        <v>0.786802</v>
      </c>
      <c r="U14" s="12">
        <f t="shared" si="4"/>
        <v>0.213198</v>
      </c>
    </row>
    <row r="15" spans="1:21" x14ac:dyDescent="0.25">
      <c r="A15" s="12" t="s">
        <v>284</v>
      </c>
      <c r="B15" s="13" t="s">
        <v>30</v>
      </c>
      <c r="C15" s="13" t="s">
        <v>260</v>
      </c>
      <c r="D15" s="12">
        <v>25</v>
      </c>
      <c r="E15" s="13" t="s">
        <v>285</v>
      </c>
      <c r="F15" s="13" t="s">
        <v>286</v>
      </c>
      <c r="G15" s="12">
        <v>8387</v>
      </c>
      <c r="H15" s="12">
        <v>552</v>
      </c>
      <c r="I15" s="12">
        <v>3.34</v>
      </c>
      <c r="J15" s="12">
        <v>10.15</v>
      </c>
      <c r="K15" s="12">
        <v>4.3499999999999996</v>
      </c>
      <c r="L15" s="12">
        <v>21.59</v>
      </c>
      <c r="M15" s="12">
        <v>60.57</v>
      </c>
      <c r="N15" s="12">
        <f t="shared" si="0"/>
        <v>9.8805000000000014</v>
      </c>
      <c r="O15" s="12">
        <v>0.77200000000000002</v>
      </c>
      <c r="P15" s="12">
        <v>2.3E-2</v>
      </c>
      <c r="Q15" s="12">
        <v>0.20499999999999999</v>
      </c>
      <c r="R15" s="12">
        <f t="shared" si="1"/>
        <v>59.073836179999994</v>
      </c>
      <c r="S15" s="12">
        <f t="shared" si="2"/>
        <v>0.43390000000000001</v>
      </c>
      <c r="T15" s="12">
        <f t="shared" si="3"/>
        <v>0.63853800000000005</v>
      </c>
      <c r="U15" s="12">
        <f t="shared" si="4"/>
        <v>0.36146199999999995</v>
      </c>
    </row>
    <row r="16" spans="1:21" x14ac:dyDescent="0.25">
      <c r="A16" s="12" t="s">
        <v>287</v>
      </c>
      <c r="B16" s="13" t="s">
        <v>32</v>
      </c>
      <c r="C16" s="13" t="s">
        <v>247</v>
      </c>
      <c r="D16" s="12">
        <v>29</v>
      </c>
      <c r="E16" s="13" t="s">
        <v>288</v>
      </c>
      <c r="F16" s="13" t="s">
        <v>289</v>
      </c>
      <c r="G16" s="12">
        <v>82740</v>
      </c>
      <c r="H16" s="12">
        <v>1800</v>
      </c>
      <c r="I16" s="12">
        <v>13.9</v>
      </c>
      <c r="J16" s="12">
        <v>2.4</v>
      </c>
      <c r="K16" s="12">
        <v>33.79</v>
      </c>
      <c r="L16" s="12">
        <v>5.2</v>
      </c>
      <c r="M16" s="12">
        <v>44.71</v>
      </c>
      <c r="N16" s="12">
        <f t="shared" si="0"/>
        <v>14.678999999999998</v>
      </c>
      <c r="O16" s="12">
        <v>0.97599999999999998</v>
      </c>
      <c r="P16" s="12">
        <v>2E-3</v>
      </c>
      <c r="Q16" s="12">
        <v>2.1999999999999999E-2</v>
      </c>
      <c r="R16" s="12">
        <f t="shared" si="1"/>
        <v>51.613944799999999</v>
      </c>
      <c r="S16" s="12">
        <f t="shared" si="2"/>
        <v>0.49299999999999999</v>
      </c>
      <c r="T16" s="12">
        <f t="shared" si="3"/>
        <v>0.95306400000000002</v>
      </c>
      <c r="U16" s="12">
        <f t="shared" si="4"/>
        <v>4.6935999999999978E-2</v>
      </c>
    </row>
    <row r="17" spans="1:21" x14ac:dyDescent="0.25">
      <c r="A17" s="12" t="s">
        <v>290</v>
      </c>
      <c r="B17" s="13" t="s">
        <v>34</v>
      </c>
      <c r="C17" s="13" t="s">
        <v>247</v>
      </c>
      <c r="D17" s="12">
        <v>31</v>
      </c>
      <c r="E17" s="13" t="s">
        <v>291</v>
      </c>
      <c r="F17" s="13" t="s">
        <v>292</v>
      </c>
      <c r="G17" s="12">
        <v>16953</v>
      </c>
      <c r="H17" s="12">
        <v>1321</v>
      </c>
      <c r="I17" s="12">
        <v>8.59</v>
      </c>
      <c r="J17" s="12">
        <v>12.94</v>
      </c>
      <c r="K17" s="12">
        <v>9.08</v>
      </c>
      <c r="L17" s="12">
        <v>25.15</v>
      </c>
      <c r="M17" s="12">
        <v>44.24</v>
      </c>
      <c r="N17" s="12">
        <f t="shared" si="0"/>
        <v>13.189500000000001</v>
      </c>
      <c r="O17" s="12">
        <v>0.84699999999999998</v>
      </c>
      <c r="P17" s="12">
        <v>4.1000000000000002E-2</v>
      </c>
      <c r="Q17" s="12">
        <v>0.112</v>
      </c>
      <c r="R17" s="12">
        <f t="shared" si="1"/>
        <v>58.116530119999986</v>
      </c>
      <c r="S17" s="12">
        <f t="shared" si="2"/>
        <v>0.45819999999999994</v>
      </c>
      <c r="T17" s="12">
        <f t="shared" si="3"/>
        <v>0.73163400000000001</v>
      </c>
      <c r="U17" s="12">
        <f t="shared" si="4"/>
        <v>0.26836599999999999</v>
      </c>
    </row>
    <row r="18" spans="1:21" x14ac:dyDescent="0.25">
      <c r="A18" s="12" t="s">
        <v>293</v>
      </c>
      <c r="B18" s="13" t="s">
        <v>37</v>
      </c>
      <c r="C18" s="13" t="s">
        <v>260</v>
      </c>
      <c r="D18" s="12">
        <v>31.5</v>
      </c>
      <c r="E18" s="13" t="s">
        <v>294</v>
      </c>
      <c r="F18" s="13" t="s">
        <v>295</v>
      </c>
      <c r="G18" s="12">
        <v>1398584</v>
      </c>
      <c r="H18" s="12">
        <v>11946</v>
      </c>
      <c r="I18" s="12">
        <v>7.0000000000000007E-2</v>
      </c>
      <c r="J18" s="12">
        <v>0.37</v>
      </c>
      <c r="K18" s="12">
        <v>1.38</v>
      </c>
      <c r="L18" s="12">
        <v>62.77</v>
      </c>
      <c r="M18" s="12">
        <v>35.409999999999997</v>
      </c>
      <c r="N18" s="12">
        <f t="shared" si="0"/>
        <v>8.3785000000000007</v>
      </c>
      <c r="O18" s="12">
        <v>0.32300000000000001</v>
      </c>
      <c r="P18" s="12">
        <v>0.06</v>
      </c>
      <c r="Q18" s="12">
        <v>0.61699999999999999</v>
      </c>
      <c r="R18" s="12">
        <f t="shared" si="1"/>
        <v>45.779760780000004</v>
      </c>
      <c r="S18" s="12">
        <f t="shared" si="2"/>
        <v>0.3029</v>
      </c>
      <c r="T18" s="12">
        <f t="shared" si="3"/>
        <v>0.488618</v>
      </c>
      <c r="U18" s="12">
        <f t="shared" si="4"/>
        <v>0.511382</v>
      </c>
    </row>
    <row r="19" spans="1:21" x14ac:dyDescent="0.25">
      <c r="A19" s="12" t="s">
        <v>296</v>
      </c>
      <c r="B19" s="13" t="s">
        <v>39</v>
      </c>
      <c r="C19" s="13" t="s">
        <v>247</v>
      </c>
      <c r="D19" s="12">
        <v>33</v>
      </c>
      <c r="E19" s="13" t="s">
        <v>297</v>
      </c>
      <c r="F19" s="13" t="s">
        <v>298</v>
      </c>
      <c r="G19" s="12">
        <v>673296</v>
      </c>
      <c r="H19" s="12">
        <v>7580</v>
      </c>
      <c r="I19" s="12">
        <v>1.33</v>
      </c>
      <c r="J19" s="12">
        <v>2.4500000000000002</v>
      </c>
      <c r="K19" s="12">
        <v>5.18</v>
      </c>
      <c r="L19" s="12">
        <v>38.43</v>
      </c>
      <c r="M19" s="12">
        <v>52.61</v>
      </c>
      <c r="N19" s="12">
        <f t="shared" si="0"/>
        <v>8.4614999999999991</v>
      </c>
      <c r="O19" s="12">
        <v>0.501</v>
      </c>
      <c r="P19" s="12">
        <v>0.123</v>
      </c>
      <c r="Q19" s="12">
        <v>0.376</v>
      </c>
      <c r="R19" s="12">
        <f t="shared" si="1"/>
        <v>57.743832439999998</v>
      </c>
      <c r="S19" s="12">
        <f t="shared" si="2"/>
        <v>0.36259999999999998</v>
      </c>
      <c r="T19" s="12">
        <f t="shared" si="3"/>
        <v>0.40750599999999998</v>
      </c>
      <c r="U19" s="12">
        <f t="shared" si="4"/>
        <v>0.59249400000000008</v>
      </c>
    </row>
    <row r="20" spans="1:21" x14ac:dyDescent="0.25">
      <c r="A20" s="12" t="s">
        <v>299</v>
      </c>
      <c r="B20" s="13" t="s">
        <v>41</v>
      </c>
      <c r="C20" s="13" t="s">
        <v>247</v>
      </c>
      <c r="D20" s="12">
        <v>34</v>
      </c>
      <c r="E20" s="13" t="s">
        <v>300</v>
      </c>
      <c r="F20" s="13" t="s">
        <v>301</v>
      </c>
      <c r="G20" s="12">
        <v>47514</v>
      </c>
      <c r="H20" s="12">
        <v>7202</v>
      </c>
      <c r="I20" s="12">
        <v>6.07</v>
      </c>
      <c r="J20" s="12">
        <v>12.33</v>
      </c>
      <c r="K20" s="12">
        <v>12.46</v>
      </c>
      <c r="L20" s="12">
        <v>26.59</v>
      </c>
      <c r="M20" s="12">
        <v>42.55</v>
      </c>
      <c r="N20" s="12">
        <f t="shared" si="0"/>
        <v>12.4695</v>
      </c>
      <c r="O20" s="12">
        <v>0.85499999999999998</v>
      </c>
      <c r="P20" s="12">
        <v>5.0999999999999997E-2</v>
      </c>
      <c r="Q20" s="12">
        <v>9.4E-2</v>
      </c>
      <c r="R20" s="12">
        <f t="shared" si="1"/>
        <v>58.047954080000011</v>
      </c>
      <c r="S20" s="12">
        <f t="shared" si="2"/>
        <v>0.46159999999999995</v>
      </c>
      <c r="T20" s="12">
        <f t="shared" si="3"/>
        <v>0.74246199999999984</v>
      </c>
      <c r="U20" s="12">
        <f t="shared" si="4"/>
        <v>0.25753800000000016</v>
      </c>
    </row>
    <row r="21" spans="1:21" x14ac:dyDescent="0.25">
      <c r="A21" s="12" t="s">
        <v>302</v>
      </c>
      <c r="B21" s="13" t="s">
        <v>43</v>
      </c>
      <c r="C21" s="13" t="s">
        <v>247</v>
      </c>
      <c r="D21" s="12">
        <v>34.5</v>
      </c>
      <c r="E21" s="13" t="s">
        <v>303</v>
      </c>
      <c r="F21" s="13" t="s">
        <v>304</v>
      </c>
      <c r="G21" s="12">
        <v>66943</v>
      </c>
      <c r="H21" s="12">
        <v>2216</v>
      </c>
      <c r="I21" s="12">
        <v>1.61</v>
      </c>
      <c r="J21" s="12">
        <v>2.48</v>
      </c>
      <c r="K21" s="12">
        <v>2.12</v>
      </c>
      <c r="L21" s="12">
        <v>16.34</v>
      </c>
      <c r="M21" s="12">
        <v>77.45</v>
      </c>
      <c r="N21" s="12">
        <f t="shared" si="0"/>
        <v>7.1690000000000005</v>
      </c>
      <c r="O21" s="12">
        <v>0.65400000000000003</v>
      </c>
      <c r="P21" s="12">
        <v>1.4E-2</v>
      </c>
      <c r="Q21" s="12">
        <v>0.33200000000000002</v>
      </c>
      <c r="R21" s="12">
        <f t="shared" si="1"/>
        <v>58.123712639999994</v>
      </c>
      <c r="S21" s="12">
        <f t="shared" si="2"/>
        <v>0.39760000000000001</v>
      </c>
      <c r="T21" s="12">
        <f t="shared" si="3"/>
        <v>0.53813600000000006</v>
      </c>
      <c r="U21" s="12">
        <f t="shared" si="4"/>
        <v>0.46186399999999994</v>
      </c>
    </row>
    <row r="22" spans="1:21" x14ac:dyDescent="0.25">
      <c r="A22" s="12" t="s">
        <v>305</v>
      </c>
      <c r="B22" s="13" t="s">
        <v>45</v>
      </c>
      <c r="C22" s="13" t="s">
        <v>247</v>
      </c>
      <c r="D22" s="12">
        <v>35</v>
      </c>
      <c r="E22" s="13" t="s">
        <v>306</v>
      </c>
      <c r="F22" s="13" t="s">
        <v>307</v>
      </c>
      <c r="G22" s="12">
        <v>13160</v>
      </c>
      <c r="H22" s="12">
        <v>723</v>
      </c>
      <c r="I22" s="12">
        <v>3.61</v>
      </c>
      <c r="J22" s="12">
        <v>5.31</v>
      </c>
      <c r="K22" s="12">
        <v>2.99</v>
      </c>
      <c r="L22" s="12">
        <v>32.47</v>
      </c>
      <c r="M22" s="12">
        <v>55.62</v>
      </c>
      <c r="N22" s="12">
        <f t="shared" si="0"/>
        <v>9.4284999999999997</v>
      </c>
      <c r="O22" s="12">
        <v>0.77700000000000002</v>
      </c>
      <c r="P22" s="12">
        <v>2.9000000000000001E-2</v>
      </c>
      <c r="Q22" s="12">
        <v>0.19400000000000001</v>
      </c>
      <c r="R22" s="12">
        <f t="shared" si="1"/>
        <v>59.199818399999991</v>
      </c>
      <c r="S22" s="12">
        <f t="shared" si="2"/>
        <v>0.436</v>
      </c>
      <c r="T22" s="12">
        <f t="shared" si="3"/>
        <v>0.64220600000000005</v>
      </c>
      <c r="U22" s="12">
        <f t="shared" si="4"/>
        <v>0.35779399999999995</v>
      </c>
    </row>
    <row r="23" spans="1:21" x14ac:dyDescent="0.25">
      <c r="A23" s="12" t="s">
        <v>308</v>
      </c>
      <c r="B23" s="13" t="s">
        <v>47</v>
      </c>
      <c r="C23" s="13" t="s">
        <v>247</v>
      </c>
      <c r="D23" s="12">
        <v>36</v>
      </c>
      <c r="E23" s="13" t="s">
        <v>309</v>
      </c>
      <c r="F23" s="13" t="s">
        <v>310</v>
      </c>
      <c r="G23" s="12">
        <v>1022</v>
      </c>
      <c r="H23" s="12">
        <v>250</v>
      </c>
      <c r="I23" s="12">
        <v>6.85</v>
      </c>
      <c r="J23" s="12">
        <v>12.82</v>
      </c>
      <c r="K23" s="15">
        <v>13.5</v>
      </c>
      <c r="L23" s="12">
        <v>15.85</v>
      </c>
      <c r="M23" s="12">
        <v>50.98</v>
      </c>
      <c r="N23" s="12">
        <f t="shared" si="0"/>
        <v>12.4465</v>
      </c>
      <c r="O23" s="12">
        <v>0.88600000000000001</v>
      </c>
      <c r="P23" s="12">
        <v>6.0000000000000001E-3</v>
      </c>
      <c r="Q23" s="12">
        <v>0.108</v>
      </c>
      <c r="R23" s="12">
        <f t="shared" si="1"/>
        <v>56.122098559999998</v>
      </c>
      <c r="S23" s="12">
        <f t="shared" si="2"/>
        <v>0.46640000000000004</v>
      </c>
      <c r="T23" s="12">
        <f t="shared" si="3"/>
        <v>0.79669600000000007</v>
      </c>
      <c r="U23" s="12">
        <f t="shared" si="4"/>
        <v>0.20330399999999993</v>
      </c>
    </row>
    <row r="24" spans="1:21" x14ac:dyDescent="0.25">
      <c r="A24" s="12" t="s">
        <v>311</v>
      </c>
      <c r="B24" s="13" t="s">
        <v>51</v>
      </c>
      <c r="C24" s="13" t="s">
        <v>247</v>
      </c>
      <c r="D24" s="12">
        <v>39</v>
      </c>
      <c r="E24" s="13" t="s">
        <v>312</v>
      </c>
      <c r="F24" s="13" t="s">
        <v>313</v>
      </c>
      <c r="G24" s="12">
        <v>58123</v>
      </c>
      <c r="H24" s="12">
        <v>1819</v>
      </c>
      <c r="I24" s="12">
        <v>2.87</v>
      </c>
      <c r="J24" s="12">
        <v>4.59</v>
      </c>
      <c r="K24" s="12">
        <v>3.4</v>
      </c>
      <c r="L24" s="12">
        <v>41.33</v>
      </c>
      <c r="M24" s="12">
        <v>47.81</v>
      </c>
      <c r="N24" s="12">
        <f t="shared" si="0"/>
        <v>9.4725000000000001</v>
      </c>
      <c r="O24" s="12">
        <v>0.48699999999999999</v>
      </c>
      <c r="P24" s="12">
        <v>0.20499999999999999</v>
      </c>
      <c r="Q24" s="12">
        <v>0.308</v>
      </c>
      <c r="R24" s="12">
        <f t="shared" si="1"/>
        <v>59.607033720000004</v>
      </c>
      <c r="S24" s="12">
        <f t="shared" si="2"/>
        <v>0.36659999999999998</v>
      </c>
      <c r="T24" s="12">
        <f t="shared" si="3"/>
        <v>0.374058</v>
      </c>
      <c r="U24" s="12">
        <f t="shared" si="4"/>
        <v>0.625942</v>
      </c>
    </row>
    <row r="25" spans="1:21" x14ac:dyDescent="0.25">
      <c r="A25" s="12" t="s">
        <v>314</v>
      </c>
      <c r="B25" s="13" t="s">
        <v>49</v>
      </c>
      <c r="C25" s="13" t="s">
        <v>247</v>
      </c>
      <c r="D25" s="12">
        <v>39</v>
      </c>
      <c r="E25" s="13" t="s">
        <v>315</v>
      </c>
      <c r="F25" s="13" t="s">
        <v>316</v>
      </c>
      <c r="G25" s="12">
        <v>58113</v>
      </c>
      <c r="H25" s="12">
        <v>1099</v>
      </c>
      <c r="I25" s="12">
        <v>2.41</v>
      </c>
      <c r="J25" s="12">
        <v>5.01</v>
      </c>
      <c r="K25" s="12">
        <v>5.15</v>
      </c>
      <c r="L25" s="12">
        <v>28.2</v>
      </c>
      <c r="M25" s="12">
        <v>59.23</v>
      </c>
      <c r="N25" s="12">
        <f t="shared" si="0"/>
        <v>8.891</v>
      </c>
      <c r="O25" s="12">
        <v>0.70499999999999996</v>
      </c>
      <c r="P25" s="12">
        <v>4.4999999999999998E-2</v>
      </c>
      <c r="Q25" s="12">
        <v>0.25</v>
      </c>
      <c r="R25" s="12">
        <f t="shared" si="1"/>
        <v>59.83952</v>
      </c>
      <c r="S25" s="12">
        <f t="shared" si="2"/>
        <v>0.41599999999999998</v>
      </c>
      <c r="T25" s="12">
        <f t="shared" si="3"/>
        <v>0.56154999999999999</v>
      </c>
      <c r="U25" s="12">
        <f t="shared" si="4"/>
        <v>0.43845000000000001</v>
      </c>
    </row>
    <row r="26" spans="1:21" x14ac:dyDescent="0.25">
      <c r="A26" s="12" t="s">
        <v>317</v>
      </c>
      <c r="B26" s="13" t="s">
        <v>53</v>
      </c>
      <c r="C26" s="13" t="s">
        <v>260</v>
      </c>
      <c r="D26" s="12">
        <v>40</v>
      </c>
      <c r="E26" s="13" t="s">
        <v>318</v>
      </c>
      <c r="F26" s="13" t="s">
        <v>319</v>
      </c>
      <c r="G26" s="12">
        <v>3505</v>
      </c>
      <c r="H26" s="12">
        <v>400</v>
      </c>
      <c r="I26" s="12">
        <v>9.02</v>
      </c>
      <c r="J26" s="12">
        <v>13.81</v>
      </c>
      <c r="K26" s="12">
        <v>14.66</v>
      </c>
      <c r="L26" s="12">
        <v>6.76</v>
      </c>
      <c r="M26" s="12">
        <v>55.75</v>
      </c>
      <c r="N26" s="12">
        <f t="shared" si="0"/>
        <v>13.173999999999999</v>
      </c>
      <c r="O26" s="12">
        <v>0.78600000000000003</v>
      </c>
      <c r="P26" s="12">
        <v>2.1999999999999999E-2</v>
      </c>
      <c r="Q26" s="12">
        <v>0.192</v>
      </c>
      <c r="R26" s="12">
        <f t="shared" si="1"/>
        <v>58.904692799999999</v>
      </c>
      <c r="S26" s="12">
        <f t="shared" si="2"/>
        <v>0.438</v>
      </c>
      <c r="T26" s="12">
        <f t="shared" si="3"/>
        <v>0.65514400000000006</v>
      </c>
      <c r="U26" s="12">
        <f t="shared" si="4"/>
        <v>0.34485599999999994</v>
      </c>
    </row>
    <row r="27" spans="1:21" x14ac:dyDescent="0.25">
      <c r="A27" s="12" t="s">
        <v>320</v>
      </c>
      <c r="B27" s="13" t="s">
        <v>55</v>
      </c>
      <c r="C27" s="13" t="s">
        <v>260</v>
      </c>
      <c r="D27" s="12">
        <v>40.5</v>
      </c>
      <c r="E27" s="13" t="s">
        <v>321</v>
      </c>
      <c r="F27" s="13" t="s">
        <v>322</v>
      </c>
      <c r="G27" s="12">
        <v>19624</v>
      </c>
      <c r="H27" s="12">
        <v>882</v>
      </c>
      <c r="I27" s="12">
        <v>0.87</v>
      </c>
      <c r="J27" s="12">
        <v>4.03</v>
      </c>
      <c r="K27" s="12">
        <v>2.5</v>
      </c>
      <c r="L27" s="12">
        <v>51.42</v>
      </c>
      <c r="M27" s="12">
        <v>41.18</v>
      </c>
      <c r="N27" s="12">
        <f t="shared" si="0"/>
        <v>8.9750000000000014</v>
      </c>
      <c r="O27" s="12">
        <v>0.67200000000000004</v>
      </c>
      <c r="P27" s="12">
        <v>3.9E-2</v>
      </c>
      <c r="Q27" s="12">
        <v>0.28899999999999998</v>
      </c>
      <c r="R27" s="12">
        <f t="shared" si="1"/>
        <v>59.339815699999996</v>
      </c>
      <c r="S27" s="12">
        <f t="shared" si="2"/>
        <v>0.40550000000000003</v>
      </c>
      <c r="T27" s="12">
        <f t="shared" si="3"/>
        <v>0.53662600000000005</v>
      </c>
      <c r="U27" s="12">
        <f t="shared" si="4"/>
        <v>0.46337399999999995</v>
      </c>
    </row>
    <row r="28" spans="1:21" x14ac:dyDescent="0.25">
      <c r="A28" s="12" t="s">
        <v>323</v>
      </c>
      <c r="B28" s="13" t="s">
        <v>59</v>
      </c>
      <c r="C28" s="13" t="s">
        <v>247</v>
      </c>
      <c r="D28" s="12">
        <v>45.5</v>
      </c>
      <c r="E28" s="13" t="s">
        <v>324</v>
      </c>
      <c r="F28" s="13" t="s">
        <v>325</v>
      </c>
      <c r="G28" s="12">
        <v>23238</v>
      </c>
      <c r="H28" s="12">
        <v>766</v>
      </c>
      <c r="I28" s="12">
        <v>5.71</v>
      </c>
      <c r="J28" s="12">
        <v>6.65</v>
      </c>
      <c r="K28" s="12">
        <v>7.11</v>
      </c>
      <c r="L28" s="12">
        <v>25.31</v>
      </c>
      <c r="M28" s="12">
        <v>55.22</v>
      </c>
      <c r="N28" s="12">
        <f t="shared" si="0"/>
        <v>10.590500000000002</v>
      </c>
      <c r="O28" s="12">
        <v>0.82299999999999995</v>
      </c>
      <c r="P28" s="12">
        <v>1.9E-2</v>
      </c>
      <c r="Q28" s="12">
        <v>0.158</v>
      </c>
      <c r="R28" s="12">
        <f t="shared" si="1"/>
        <v>58.224888480000004</v>
      </c>
      <c r="S28" s="12">
        <f t="shared" si="2"/>
        <v>0.44879999999999998</v>
      </c>
      <c r="T28" s="12">
        <f t="shared" si="3"/>
        <v>0.70265399999999989</v>
      </c>
      <c r="U28" s="12">
        <f t="shared" si="4"/>
        <v>0.29734600000000011</v>
      </c>
    </row>
    <row r="29" spans="1:21" x14ac:dyDescent="0.25">
      <c r="A29" s="12" t="s">
        <v>326</v>
      </c>
      <c r="B29" s="13" t="s">
        <v>57</v>
      </c>
      <c r="C29" s="13" t="s">
        <v>247</v>
      </c>
      <c r="D29" s="12">
        <v>45.5</v>
      </c>
      <c r="E29" s="13" t="s">
        <v>327</v>
      </c>
      <c r="F29" s="13" t="s">
        <v>328</v>
      </c>
      <c r="G29" s="12">
        <v>74832</v>
      </c>
      <c r="H29" s="12">
        <v>945</v>
      </c>
      <c r="I29" s="12">
        <v>1.2</v>
      </c>
      <c r="J29" s="12">
        <v>3.92</v>
      </c>
      <c r="K29" s="12">
        <v>19.600000000000001</v>
      </c>
      <c r="L29" s="12">
        <v>20.25</v>
      </c>
      <c r="M29" s="12">
        <v>55.03</v>
      </c>
      <c r="N29" s="12">
        <f t="shared" si="0"/>
        <v>9.2364999999999995</v>
      </c>
      <c r="O29" s="12">
        <v>0.76800000000000002</v>
      </c>
      <c r="P29" s="12">
        <v>0.11600000000000001</v>
      </c>
      <c r="Q29" s="12">
        <v>0.11600000000000001</v>
      </c>
      <c r="R29" s="12">
        <f t="shared" si="1"/>
        <v>61.140268799999994</v>
      </c>
      <c r="S29" s="12">
        <f t="shared" si="2"/>
        <v>0.442</v>
      </c>
      <c r="T29" s="12">
        <f t="shared" si="3"/>
        <v>0.61673600000000006</v>
      </c>
      <c r="U29" s="12">
        <f t="shared" si="4"/>
        <v>0.38326399999999994</v>
      </c>
    </row>
    <row r="30" spans="1:21" x14ac:dyDescent="0.25">
      <c r="A30" s="12" t="s">
        <v>329</v>
      </c>
      <c r="B30" s="13" t="s">
        <v>61</v>
      </c>
      <c r="C30" s="13" t="s">
        <v>247</v>
      </c>
      <c r="D30" s="12">
        <v>47.5</v>
      </c>
      <c r="E30" s="13" t="s">
        <v>330</v>
      </c>
      <c r="F30" s="13" t="s">
        <v>331</v>
      </c>
      <c r="G30" s="12">
        <v>13080</v>
      </c>
      <c r="H30" s="12">
        <v>1637</v>
      </c>
      <c r="I30" s="12">
        <v>3.09</v>
      </c>
      <c r="J30" s="12">
        <v>6.71</v>
      </c>
      <c r="K30" s="12">
        <v>1.79</v>
      </c>
      <c r="L30" s="12">
        <v>19.27</v>
      </c>
      <c r="M30" s="12">
        <v>69.14</v>
      </c>
      <c r="N30" s="12">
        <f t="shared" si="0"/>
        <v>8.7205000000000013</v>
      </c>
      <c r="O30" s="12">
        <v>0.81399999999999995</v>
      </c>
      <c r="P30" s="12">
        <v>2.5999999999999999E-2</v>
      </c>
      <c r="Q30" s="12">
        <v>0.16</v>
      </c>
      <c r="R30" s="12">
        <f t="shared" si="1"/>
        <v>58.581199040000001</v>
      </c>
      <c r="S30" s="12">
        <f t="shared" si="2"/>
        <v>0.44679999999999997</v>
      </c>
      <c r="T30" s="12">
        <f t="shared" si="3"/>
        <v>0.68887199999999993</v>
      </c>
      <c r="U30" s="12">
        <f t="shared" si="4"/>
        <v>0.31112800000000007</v>
      </c>
    </row>
    <row r="31" spans="1:21" x14ac:dyDescent="0.25">
      <c r="A31" s="12" t="s">
        <v>332</v>
      </c>
      <c r="B31" s="13" t="s">
        <v>63</v>
      </c>
      <c r="C31" s="13" t="s">
        <v>260</v>
      </c>
      <c r="D31" s="12">
        <v>48.5</v>
      </c>
      <c r="E31" s="13" t="s">
        <v>333</v>
      </c>
      <c r="F31" s="13" t="s">
        <v>334</v>
      </c>
      <c r="G31" s="12">
        <v>16556</v>
      </c>
      <c r="H31" s="12">
        <v>756</v>
      </c>
      <c r="I31" s="12">
        <v>2.27</v>
      </c>
      <c r="J31" s="12">
        <v>6.03</v>
      </c>
      <c r="K31" s="12">
        <v>3.29</v>
      </c>
      <c r="L31" s="12">
        <v>15.54</v>
      </c>
      <c r="M31" s="12">
        <v>72.87</v>
      </c>
      <c r="N31" s="12">
        <f t="shared" si="0"/>
        <v>8.2200000000000006</v>
      </c>
      <c r="O31" s="12">
        <v>0.59799999999999998</v>
      </c>
      <c r="P31" s="12">
        <v>3.6999999999999998E-2</v>
      </c>
      <c r="Q31" s="12">
        <v>0.36499999999999999</v>
      </c>
      <c r="R31" s="12">
        <f t="shared" si="1"/>
        <v>57.763894620000002</v>
      </c>
      <c r="S31" s="12">
        <f t="shared" si="2"/>
        <v>0.3831</v>
      </c>
      <c r="T31" s="12">
        <f t="shared" si="3"/>
        <v>0.49219799999999997</v>
      </c>
      <c r="U31" s="12">
        <f t="shared" si="4"/>
        <v>0.50780200000000009</v>
      </c>
    </row>
    <row r="32" spans="1:21" x14ac:dyDescent="0.25">
      <c r="A32" s="12" t="s">
        <v>335</v>
      </c>
      <c r="B32" s="13" t="s">
        <v>65</v>
      </c>
      <c r="C32" s="13" t="s">
        <v>260</v>
      </c>
      <c r="D32" s="12">
        <v>48.5</v>
      </c>
      <c r="E32" s="13" t="s">
        <v>336</v>
      </c>
      <c r="F32" s="13" t="s">
        <v>337</v>
      </c>
      <c r="G32" s="12">
        <v>3032</v>
      </c>
      <c r="H32" s="12">
        <v>505</v>
      </c>
      <c r="I32" s="12">
        <v>5.57</v>
      </c>
      <c r="J32" s="12">
        <v>3.2</v>
      </c>
      <c r="K32" s="12">
        <v>10.36</v>
      </c>
      <c r="L32" s="12">
        <v>19.59</v>
      </c>
      <c r="M32" s="12">
        <v>61.28</v>
      </c>
      <c r="N32" s="12">
        <f t="shared" si="0"/>
        <v>9.8834999999999997</v>
      </c>
      <c r="O32" s="12">
        <v>0.76500000000000001</v>
      </c>
      <c r="P32" s="12">
        <v>1.0999999999999999E-2</v>
      </c>
      <c r="Q32" s="12">
        <v>0.224</v>
      </c>
      <c r="R32" s="12">
        <f t="shared" si="1"/>
        <v>58.754422680000005</v>
      </c>
      <c r="S32" s="12">
        <f t="shared" si="2"/>
        <v>0.43060000000000004</v>
      </c>
      <c r="T32" s="12">
        <f t="shared" si="3"/>
        <v>0.63552200000000003</v>
      </c>
      <c r="U32" s="12">
        <f t="shared" si="4"/>
        <v>0.36447799999999997</v>
      </c>
    </row>
    <row r="33" spans="1:21" x14ac:dyDescent="0.25">
      <c r="A33" s="12" t="s">
        <v>338</v>
      </c>
      <c r="B33" s="13" t="s">
        <v>69</v>
      </c>
      <c r="C33" s="13" t="s">
        <v>247</v>
      </c>
      <c r="D33" s="12">
        <v>49.5</v>
      </c>
      <c r="E33" s="13" t="s">
        <v>339</v>
      </c>
      <c r="F33" s="13" t="s">
        <v>340</v>
      </c>
      <c r="G33" s="12">
        <v>100825</v>
      </c>
      <c r="H33" s="12">
        <v>8124</v>
      </c>
      <c r="I33" s="12">
        <v>3.68</v>
      </c>
      <c r="J33" s="12">
        <v>7.65</v>
      </c>
      <c r="K33" s="12">
        <v>12.3</v>
      </c>
      <c r="L33" s="12">
        <v>27.81</v>
      </c>
      <c r="M33" s="12">
        <v>48.56</v>
      </c>
      <c r="N33" s="12">
        <f t="shared" si="0"/>
        <v>10.6225</v>
      </c>
      <c r="O33" s="12">
        <v>0.86899999999999999</v>
      </c>
      <c r="P33" s="12">
        <v>2.9000000000000001E-2</v>
      </c>
      <c r="Q33" s="12">
        <v>0.10199999999999999</v>
      </c>
      <c r="R33" s="12">
        <f t="shared" si="1"/>
        <v>57.189417840000004</v>
      </c>
      <c r="S33" s="12">
        <f t="shared" si="2"/>
        <v>0.46360000000000001</v>
      </c>
      <c r="T33" s="12">
        <f t="shared" si="3"/>
        <v>0.76640599999999992</v>
      </c>
      <c r="U33" s="12">
        <f t="shared" si="4"/>
        <v>0.23359400000000008</v>
      </c>
    </row>
    <row r="34" spans="1:21" x14ac:dyDescent="0.25">
      <c r="A34" s="12" t="s">
        <v>341</v>
      </c>
      <c r="B34" s="13" t="s">
        <v>67</v>
      </c>
      <c r="C34" s="13" t="s">
        <v>247</v>
      </c>
      <c r="D34" s="12">
        <v>49.5</v>
      </c>
      <c r="E34" s="13" t="s">
        <v>342</v>
      </c>
      <c r="F34" s="13" t="s">
        <v>343</v>
      </c>
      <c r="G34" s="12">
        <v>158133</v>
      </c>
      <c r="H34" s="12">
        <v>8594</v>
      </c>
      <c r="I34" s="12">
        <v>2.65</v>
      </c>
      <c r="J34" s="12">
        <v>6.14</v>
      </c>
      <c r="K34" s="12">
        <v>11.54</v>
      </c>
      <c r="L34" s="12">
        <v>22.38</v>
      </c>
      <c r="M34" s="12">
        <v>57.29</v>
      </c>
      <c r="N34" s="12">
        <f t="shared" si="0"/>
        <v>9.5609999999999999</v>
      </c>
      <c r="O34" s="12">
        <v>0.80500000000000005</v>
      </c>
      <c r="P34" s="12">
        <v>2.5999999999999999E-2</v>
      </c>
      <c r="Q34" s="12">
        <v>0.16900000000000001</v>
      </c>
      <c r="R34" s="12">
        <f t="shared" si="1"/>
        <v>58.742794580000002</v>
      </c>
      <c r="S34" s="12">
        <f t="shared" si="2"/>
        <v>0.44409999999999999</v>
      </c>
      <c r="T34" s="12">
        <f t="shared" si="3"/>
        <v>0.67726200000000003</v>
      </c>
      <c r="U34" s="12">
        <f t="shared" si="4"/>
        <v>0.32273799999999997</v>
      </c>
    </row>
    <row r="35" spans="1:21" x14ac:dyDescent="0.25">
      <c r="A35" s="12" t="s">
        <v>344</v>
      </c>
      <c r="B35" s="13" t="s">
        <v>71</v>
      </c>
      <c r="C35" s="13" t="s">
        <v>247</v>
      </c>
      <c r="D35" s="12">
        <v>50</v>
      </c>
      <c r="E35" s="13" t="s">
        <v>345</v>
      </c>
      <c r="F35" s="13" t="s">
        <v>346</v>
      </c>
      <c r="G35" s="12">
        <v>910</v>
      </c>
      <c r="H35" s="12">
        <v>213</v>
      </c>
      <c r="I35" s="12">
        <v>7.7</v>
      </c>
      <c r="J35" s="12">
        <v>4.18</v>
      </c>
      <c r="K35" s="12">
        <v>17.25</v>
      </c>
      <c r="L35" s="12">
        <v>12.75</v>
      </c>
      <c r="M35" s="12">
        <v>58.12</v>
      </c>
      <c r="N35" s="12">
        <f t="shared" si="0"/>
        <v>11.278500000000001</v>
      </c>
      <c r="O35" s="12">
        <v>0.78400000000000003</v>
      </c>
      <c r="P35" s="12">
        <v>1.9E-2</v>
      </c>
      <c r="Q35" s="12">
        <v>0.19700000000000001</v>
      </c>
      <c r="R35" s="12">
        <f t="shared" si="1"/>
        <v>58.841265539999995</v>
      </c>
      <c r="S35" s="12">
        <f t="shared" si="2"/>
        <v>0.43709999999999999</v>
      </c>
      <c r="T35" s="12">
        <f t="shared" si="3"/>
        <v>0.65382600000000002</v>
      </c>
      <c r="U35" s="12">
        <f t="shared" si="4"/>
        <v>0.34617399999999998</v>
      </c>
    </row>
    <row r="36" spans="1:21" x14ac:dyDescent="0.25">
      <c r="A36" s="12" t="s">
        <v>347</v>
      </c>
      <c r="B36" s="13" t="s">
        <v>75</v>
      </c>
      <c r="C36" s="13" t="s">
        <v>260</v>
      </c>
      <c r="D36" s="12">
        <v>50.5</v>
      </c>
      <c r="E36" s="13" t="s">
        <v>348</v>
      </c>
      <c r="F36" s="13" t="s">
        <v>349</v>
      </c>
      <c r="G36" s="12">
        <v>18207</v>
      </c>
      <c r="H36" s="12">
        <v>1416</v>
      </c>
      <c r="I36" s="12">
        <v>2.2200000000000002</v>
      </c>
      <c r="J36" s="12">
        <v>7.4</v>
      </c>
      <c r="K36" s="12">
        <v>4.0599999999999996</v>
      </c>
      <c r="L36" s="12">
        <v>28.45</v>
      </c>
      <c r="M36" s="12">
        <v>57.87</v>
      </c>
      <c r="N36" s="12">
        <f t="shared" si="0"/>
        <v>9.1965000000000003</v>
      </c>
      <c r="O36" s="12">
        <v>0.88</v>
      </c>
      <c r="P36" s="12">
        <v>2.4E-2</v>
      </c>
      <c r="Q36" s="12">
        <v>9.6000000000000002E-2</v>
      </c>
      <c r="R36" s="12">
        <f t="shared" si="1"/>
        <v>56.705285119999992</v>
      </c>
      <c r="S36" s="12">
        <f t="shared" si="2"/>
        <v>0.46639999999999998</v>
      </c>
      <c r="T36" s="12">
        <f t="shared" si="3"/>
        <v>0.784192</v>
      </c>
      <c r="U36" s="12">
        <f t="shared" si="4"/>
        <v>0.215808</v>
      </c>
    </row>
    <row r="37" spans="1:21" x14ac:dyDescent="0.25">
      <c r="A37" s="12" t="s">
        <v>350</v>
      </c>
      <c r="B37" s="13" t="s">
        <v>73</v>
      </c>
      <c r="C37" s="13" t="s">
        <v>247</v>
      </c>
      <c r="D37" s="12">
        <v>50.5</v>
      </c>
      <c r="E37" s="13" t="s">
        <v>351</v>
      </c>
      <c r="F37" s="13" t="s">
        <v>352</v>
      </c>
      <c r="G37" s="12">
        <v>50495</v>
      </c>
      <c r="H37" s="12">
        <v>7557</v>
      </c>
      <c r="I37" s="12">
        <v>3.93</v>
      </c>
      <c r="J37" s="12">
        <v>10.98</v>
      </c>
      <c r="K37" s="12">
        <v>9.41</v>
      </c>
      <c r="L37" s="12">
        <v>32.549999999999997</v>
      </c>
      <c r="M37" s="12">
        <v>43.13</v>
      </c>
      <c r="N37" s="12">
        <f t="shared" si="0"/>
        <v>11.336500000000001</v>
      </c>
      <c r="O37" s="12">
        <v>0.84899999999999998</v>
      </c>
      <c r="P37" s="12">
        <v>4.7E-2</v>
      </c>
      <c r="Q37" s="12">
        <v>0.104</v>
      </c>
      <c r="R37" s="12">
        <f t="shared" si="1"/>
        <v>58.168033559999991</v>
      </c>
      <c r="S37" s="12">
        <f t="shared" si="2"/>
        <v>0.45939999999999998</v>
      </c>
      <c r="T37" s="12">
        <f t="shared" si="3"/>
        <v>0.73382599999999998</v>
      </c>
      <c r="U37" s="12">
        <f t="shared" si="4"/>
        <v>0.26617400000000002</v>
      </c>
    </row>
    <row r="38" spans="1:21" x14ac:dyDescent="0.25">
      <c r="A38" s="12" t="s">
        <v>353</v>
      </c>
      <c r="B38" s="13" t="s">
        <v>77</v>
      </c>
      <c r="C38" s="13" t="s">
        <v>247</v>
      </c>
      <c r="D38" s="12">
        <v>51</v>
      </c>
      <c r="E38" s="13" t="s">
        <v>354</v>
      </c>
      <c r="F38" s="13" t="s">
        <v>355</v>
      </c>
      <c r="G38" s="12">
        <v>9663</v>
      </c>
      <c r="H38" s="12">
        <v>951</v>
      </c>
      <c r="I38" s="12">
        <v>2.85</v>
      </c>
      <c r="J38" s="12">
        <v>2.64</v>
      </c>
      <c r="K38" s="12">
        <v>6.23</v>
      </c>
      <c r="L38" s="12">
        <v>11.41</v>
      </c>
      <c r="M38" s="12">
        <v>76.87</v>
      </c>
      <c r="N38" s="12">
        <f t="shared" si="0"/>
        <v>7.8615000000000004</v>
      </c>
      <c r="O38" s="12">
        <v>0.75800000000000001</v>
      </c>
      <c r="P38" s="12">
        <v>3.6999999999999998E-2</v>
      </c>
      <c r="Q38" s="12">
        <v>0.20499999999999999</v>
      </c>
      <c r="R38" s="12">
        <f t="shared" si="1"/>
        <v>59.57983062000001</v>
      </c>
      <c r="S38" s="12">
        <f t="shared" si="2"/>
        <v>0.43109999999999998</v>
      </c>
      <c r="T38" s="12">
        <f t="shared" si="3"/>
        <v>0.6179579999999999</v>
      </c>
      <c r="U38" s="12">
        <f t="shared" si="4"/>
        <v>0.3820420000000001</v>
      </c>
    </row>
    <row r="39" spans="1:21" x14ac:dyDescent="0.25">
      <c r="A39" s="12" t="s">
        <v>356</v>
      </c>
      <c r="B39" s="13" t="s">
        <v>79</v>
      </c>
      <c r="C39" s="13" t="s">
        <v>247</v>
      </c>
      <c r="D39" s="12">
        <v>52</v>
      </c>
      <c r="E39" s="13" t="s">
        <v>357</v>
      </c>
      <c r="F39" s="13" t="s">
        <v>358</v>
      </c>
      <c r="G39" s="12">
        <v>8024</v>
      </c>
      <c r="H39" s="12">
        <v>1032</v>
      </c>
      <c r="I39" s="12">
        <v>2.85</v>
      </c>
      <c r="J39" s="12">
        <v>10.58</v>
      </c>
      <c r="K39" s="12">
        <v>4.42</v>
      </c>
      <c r="L39" s="12">
        <v>33.18</v>
      </c>
      <c r="M39" s="12">
        <v>48.97</v>
      </c>
      <c r="N39" s="12">
        <f t="shared" si="0"/>
        <v>10.356999999999999</v>
      </c>
      <c r="O39" s="12">
        <v>0.89200000000000002</v>
      </c>
      <c r="P39" s="12">
        <v>5.0000000000000001E-3</v>
      </c>
      <c r="Q39" s="12">
        <v>0.10299999999999999</v>
      </c>
      <c r="R39" s="12">
        <f t="shared" si="1"/>
        <v>55.877190620000007</v>
      </c>
      <c r="S39" s="12">
        <f t="shared" si="2"/>
        <v>0.46810000000000002</v>
      </c>
      <c r="T39" s="12">
        <f t="shared" si="3"/>
        <v>0.80629800000000007</v>
      </c>
      <c r="U39" s="12">
        <f t="shared" si="4"/>
        <v>0.19370199999999993</v>
      </c>
    </row>
    <row r="40" spans="1:21" x14ac:dyDescent="0.25">
      <c r="A40" s="12" t="s">
        <v>359</v>
      </c>
      <c r="B40" s="13" t="s">
        <v>81</v>
      </c>
      <c r="C40" s="13" t="s">
        <v>247</v>
      </c>
      <c r="D40" s="12">
        <v>55</v>
      </c>
      <c r="E40" s="13" t="s">
        <v>360</v>
      </c>
      <c r="F40" s="13" t="s">
        <v>361</v>
      </c>
      <c r="G40" s="12">
        <v>32107</v>
      </c>
      <c r="H40" s="12">
        <v>1061</v>
      </c>
      <c r="I40" s="12">
        <v>2.02</v>
      </c>
      <c r="J40" s="12">
        <v>3.58</v>
      </c>
      <c r="K40" s="12">
        <v>26.86</v>
      </c>
      <c r="L40" s="12">
        <v>24.33</v>
      </c>
      <c r="M40" s="12">
        <v>43.21</v>
      </c>
      <c r="N40" s="12">
        <f t="shared" si="0"/>
        <v>10.426500000000001</v>
      </c>
      <c r="O40" s="12">
        <v>0.91300000000000003</v>
      </c>
      <c r="P40" s="12">
        <v>7.0000000000000007E-2</v>
      </c>
      <c r="Q40" s="12">
        <v>1.7000000000000001E-2</v>
      </c>
      <c r="R40" s="12">
        <f t="shared" si="1"/>
        <v>55.844127779999994</v>
      </c>
      <c r="S40" s="12">
        <f t="shared" si="2"/>
        <v>0.48090000000000005</v>
      </c>
      <c r="T40" s="12">
        <f t="shared" si="3"/>
        <v>0.83875800000000011</v>
      </c>
      <c r="U40" s="12">
        <f t="shared" si="4"/>
        <v>0.16124199999999989</v>
      </c>
    </row>
    <row r="41" spans="1:21" x14ac:dyDescent="0.25">
      <c r="A41" s="12" t="s">
        <v>362</v>
      </c>
      <c r="B41" s="13" t="s">
        <v>83</v>
      </c>
      <c r="C41" s="13" t="s">
        <v>247</v>
      </c>
      <c r="D41" s="12">
        <v>57</v>
      </c>
      <c r="E41" s="13" t="s">
        <v>363</v>
      </c>
      <c r="F41" s="13" t="s">
        <v>364</v>
      </c>
      <c r="G41" s="12">
        <v>11281</v>
      </c>
      <c r="H41" s="12">
        <v>744</v>
      </c>
      <c r="I41" s="12">
        <v>1.79</v>
      </c>
      <c r="J41" s="12">
        <v>5.35</v>
      </c>
      <c r="K41" s="12">
        <v>3.01</v>
      </c>
      <c r="L41" s="12">
        <v>41.97</v>
      </c>
      <c r="M41" s="12">
        <v>47.88</v>
      </c>
      <c r="N41" s="12">
        <f t="shared" si="0"/>
        <v>9.1854999999999993</v>
      </c>
      <c r="O41" s="12">
        <v>0.91300000000000003</v>
      </c>
      <c r="P41" s="12">
        <v>7.0000000000000001E-3</v>
      </c>
      <c r="Q41" s="12">
        <v>0.08</v>
      </c>
      <c r="R41" s="12">
        <f t="shared" si="1"/>
        <v>55.052745719999997</v>
      </c>
      <c r="S41" s="12">
        <f t="shared" si="2"/>
        <v>0.47460000000000002</v>
      </c>
      <c r="T41" s="12">
        <f t="shared" si="3"/>
        <v>0.84001800000000004</v>
      </c>
      <c r="U41" s="12">
        <f t="shared" si="4"/>
        <v>0.15998199999999996</v>
      </c>
    </row>
    <row r="42" spans="1:21" x14ac:dyDescent="0.25">
      <c r="A42" s="12" t="s">
        <v>365</v>
      </c>
      <c r="B42" s="13" t="s">
        <v>85</v>
      </c>
      <c r="C42" s="13" t="s">
        <v>247</v>
      </c>
      <c r="D42" s="12">
        <v>58.5</v>
      </c>
      <c r="E42" s="13" t="s">
        <v>366</v>
      </c>
      <c r="F42" s="13" t="s">
        <v>367</v>
      </c>
      <c r="G42" s="12">
        <v>114245</v>
      </c>
      <c r="H42" s="12">
        <v>2489</v>
      </c>
      <c r="I42" s="12">
        <v>2.4900000000000002</v>
      </c>
      <c r="J42" s="12">
        <v>7.44</v>
      </c>
      <c r="K42" s="12">
        <v>2.5299999999999998</v>
      </c>
      <c r="L42" s="12">
        <v>33.799999999999997</v>
      </c>
      <c r="M42" s="12">
        <v>53.74</v>
      </c>
      <c r="N42" s="12">
        <f t="shared" si="0"/>
        <v>9.4269999999999996</v>
      </c>
      <c r="O42" s="12">
        <v>0.84299999999999997</v>
      </c>
      <c r="P42" s="12">
        <v>0.02</v>
      </c>
      <c r="Q42" s="12">
        <v>0.13700000000000001</v>
      </c>
      <c r="R42" s="12">
        <f t="shared" si="1"/>
        <v>57.780579180000004</v>
      </c>
      <c r="S42" s="12">
        <f t="shared" si="2"/>
        <v>0.45489999999999997</v>
      </c>
      <c r="T42" s="12">
        <f t="shared" si="3"/>
        <v>0.72981799999999997</v>
      </c>
      <c r="U42" s="12">
        <f t="shared" si="4"/>
        <v>0.27018200000000003</v>
      </c>
    </row>
    <row r="43" spans="1:21" x14ac:dyDescent="0.25">
      <c r="A43" s="12" t="s">
        <v>368</v>
      </c>
      <c r="B43" s="13" t="s">
        <v>87</v>
      </c>
      <c r="C43" s="13" t="s">
        <v>247</v>
      </c>
      <c r="D43" s="12">
        <v>59</v>
      </c>
      <c r="E43" s="13" t="s">
        <v>369</v>
      </c>
      <c r="F43" s="13" t="s">
        <v>370</v>
      </c>
      <c r="G43" s="12">
        <v>156803</v>
      </c>
      <c r="H43" s="12">
        <v>1065</v>
      </c>
      <c r="I43" s="12">
        <v>0.54</v>
      </c>
      <c r="J43" s="12">
        <v>1.35</v>
      </c>
      <c r="K43" s="12">
        <v>0.67</v>
      </c>
      <c r="L43" s="12">
        <v>19.57</v>
      </c>
      <c r="M43" s="12">
        <v>77.87</v>
      </c>
      <c r="N43" s="12">
        <f t="shared" si="0"/>
        <v>6.5315000000000003</v>
      </c>
      <c r="O43" s="12">
        <v>0.14799999999999999</v>
      </c>
      <c r="P43" s="12">
        <v>0.501</v>
      </c>
      <c r="Q43" s="12">
        <v>0.35099999999999998</v>
      </c>
      <c r="R43" s="12">
        <f t="shared" si="1"/>
        <v>47.234678299999992</v>
      </c>
      <c r="S43" s="12">
        <f t="shared" si="2"/>
        <v>0.29449999999999998</v>
      </c>
      <c r="T43" s="12">
        <f t="shared" si="3"/>
        <v>0.39610599999999996</v>
      </c>
      <c r="U43" s="12">
        <f t="shared" si="4"/>
        <v>0.60389400000000004</v>
      </c>
    </row>
    <row r="44" spans="1:21" x14ac:dyDescent="0.25">
      <c r="A44" s="12" t="s">
        <v>371</v>
      </c>
      <c r="B44" s="13" t="s">
        <v>89</v>
      </c>
      <c r="C44" s="13" t="s">
        <v>260</v>
      </c>
      <c r="D44" s="12">
        <v>59</v>
      </c>
      <c r="E44" s="13" t="s">
        <v>372</v>
      </c>
      <c r="F44" s="13" t="s">
        <v>373</v>
      </c>
      <c r="G44" s="12">
        <v>8323</v>
      </c>
      <c r="H44" s="12">
        <v>403</v>
      </c>
      <c r="I44" s="12">
        <v>2.4300000000000002</v>
      </c>
      <c r="J44" s="12">
        <v>5</v>
      </c>
      <c r="K44" s="12">
        <v>5.71</v>
      </c>
      <c r="L44" s="12">
        <v>24.34</v>
      </c>
      <c r="M44" s="12">
        <v>62.52</v>
      </c>
      <c r="N44" s="12">
        <f t="shared" si="0"/>
        <v>8.7600000000000016</v>
      </c>
      <c r="O44" s="12">
        <v>0.84499999999999997</v>
      </c>
      <c r="P44" s="12">
        <v>0.01</v>
      </c>
      <c r="Q44" s="12">
        <v>0.14499999999999999</v>
      </c>
      <c r="R44" s="12">
        <f t="shared" si="1"/>
        <v>57.487432500000004</v>
      </c>
      <c r="S44" s="12">
        <f t="shared" si="2"/>
        <v>0.45450000000000002</v>
      </c>
      <c r="T44" s="12">
        <f t="shared" si="3"/>
        <v>0.73514999999999986</v>
      </c>
      <c r="U44" s="12">
        <f t="shared" si="4"/>
        <v>0.26485000000000014</v>
      </c>
    </row>
    <row r="45" spans="1:21" x14ac:dyDescent="0.25">
      <c r="A45" s="12" t="s">
        <v>374</v>
      </c>
      <c r="B45" s="13" t="s">
        <v>91</v>
      </c>
      <c r="C45" s="13" t="s">
        <v>247</v>
      </c>
      <c r="D45" s="12">
        <v>59.5</v>
      </c>
      <c r="E45" s="13" t="s">
        <v>375</v>
      </c>
      <c r="F45" s="13" t="s">
        <v>376</v>
      </c>
      <c r="G45" s="12">
        <v>1333</v>
      </c>
      <c r="H45" s="12">
        <v>237</v>
      </c>
      <c r="I45" s="12">
        <v>5.78</v>
      </c>
      <c r="J45" s="12">
        <v>2.85</v>
      </c>
      <c r="K45" s="12">
        <v>12.08</v>
      </c>
      <c r="L45" s="12">
        <v>28.36</v>
      </c>
      <c r="M45" s="12">
        <v>50.93</v>
      </c>
      <c r="N45" s="12">
        <f t="shared" si="0"/>
        <v>10.507999999999999</v>
      </c>
      <c r="O45" s="12">
        <v>0.96199999999999997</v>
      </c>
      <c r="P45" s="12">
        <v>6.0000000000000001E-3</v>
      </c>
      <c r="Q45" s="12">
        <v>3.2000000000000001E-2</v>
      </c>
      <c r="R45" s="12">
        <f t="shared" si="1"/>
        <v>52.515424320000001</v>
      </c>
      <c r="S45" s="12">
        <f t="shared" si="2"/>
        <v>0.48920000000000002</v>
      </c>
      <c r="T45" s="12">
        <f t="shared" si="3"/>
        <v>0.92650399999999999</v>
      </c>
      <c r="U45" s="12">
        <f t="shared" si="4"/>
        <v>7.3496000000000006E-2</v>
      </c>
    </row>
    <row r="46" spans="1:21" x14ac:dyDescent="0.25">
      <c r="A46" s="12" t="s">
        <v>377</v>
      </c>
      <c r="B46" s="13" t="s">
        <v>93</v>
      </c>
      <c r="C46" s="13" t="s">
        <v>260</v>
      </c>
      <c r="D46" s="12">
        <v>60</v>
      </c>
      <c r="E46" s="13" t="s">
        <v>378</v>
      </c>
      <c r="F46" s="13" t="s">
        <v>379</v>
      </c>
      <c r="G46" s="12">
        <v>8899</v>
      </c>
      <c r="H46" s="12">
        <v>286</v>
      </c>
      <c r="I46" s="12">
        <v>11.03</v>
      </c>
      <c r="J46" s="12">
        <v>2.21</v>
      </c>
      <c r="K46" s="12">
        <v>26.5</v>
      </c>
      <c r="L46" s="12">
        <v>15.44</v>
      </c>
      <c r="M46" s="12">
        <v>44.82</v>
      </c>
      <c r="N46" s="12">
        <f t="shared" si="0"/>
        <v>13.276</v>
      </c>
      <c r="O46" s="12">
        <v>0.91</v>
      </c>
      <c r="P46" s="12">
        <v>4.0000000000000001E-3</v>
      </c>
      <c r="Q46" s="12">
        <v>8.5999999999999993E-2</v>
      </c>
      <c r="R46" s="12">
        <f t="shared" si="1"/>
        <v>55.126861919999989</v>
      </c>
      <c r="S46" s="12">
        <f t="shared" si="2"/>
        <v>0.47339999999999999</v>
      </c>
      <c r="T46" s="12">
        <f t="shared" si="3"/>
        <v>0.83551200000000003</v>
      </c>
      <c r="U46" s="12">
        <f t="shared" si="4"/>
        <v>0.16448799999999997</v>
      </c>
    </row>
    <row r="47" spans="1:21" x14ac:dyDescent="0.25">
      <c r="A47" s="12" t="s">
        <v>380</v>
      </c>
      <c r="B47" s="13" t="s">
        <v>95</v>
      </c>
      <c r="C47" s="13" t="s">
        <v>247</v>
      </c>
      <c r="D47" s="12">
        <v>61</v>
      </c>
      <c r="E47" s="13" t="s">
        <v>381</v>
      </c>
      <c r="F47" s="13" t="s">
        <v>382</v>
      </c>
      <c r="G47" s="12">
        <v>4986</v>
      </c>
      <c r="H47" s="12">
        <v>604</v>
      </c>
      <c r="I47" s="12">
        <v>4.6900000000000004</v>
      </c>
      <c r="J47" s="12">
        <v>5.9</v>
      </c>
      <c r="K47" s="12">
        <v>10.61</v>
      </c>
      <c r="L47" s="12">
        <v>26.35</v>
      </c>
      <c r="M47" s="12">
        <v>52.45</v>
      </c>
      <c r="N47" s="12">
        <f t="shared" si="0"/>
        <v>10.4345</v>
      </c>
      <c r="O47" s="12">
        <v>0.76600000000000001</v>
      </c>
      <c r="P47" s="12">
        <v>4.1000000000000002E-2</v>
      </c>
      <c r="Q47" s="12">
        <v>0.193</v>
      </c>
      <c r="R47" s="12">
        <f t="shared" si="1"/>
        <v>59.631484460000003</v>
      </c>
      <c r="S47" s="12">
        <f t="shared" si="2"/>
        <v>0.43390000000000001</v>
      </c>
      <c r="T47" s="12">
        <f t="shared" si="3"/>
        <v>0.62568600000000008</v>
      </c>
      <c r="U47" s="12">
        <f t="shared" si="4"/>
        <v>0.37431399999999992</v>
      </c>
    </row>
    <row r="48" spans="1:21" x14ac:dyDescent="0.25">
      <c r="A48" s="12" t="s">
        <v>383</v>
      </c>
      <c r="B48" s="13" t="s">
        <v>101</v>
      </c>
      <c r="C48" s="13" t="s">
        <v>247</v>
      </c>
      <c r="D48" s="12">
        <v>62</v>
      </c>
      <c r="E48" s="13" t="s">
        <v>384</v>
      </c>
      <c r="F48" s="13" t="s">
        <v>385</v>
      </c>
      <c r="G48" s="12">
        <v>20238</v>
      </c>
      <c r="H48" s="12">
        <v>1397</v>
      </c>
      <c r="I48" s="12">
        <v>2.35</v>
      </c>
      <c r="J48" s="12">
        <v>7.86</v>
      </c>
      <c r="K48" s="12">
        <v>1.94</v>
      </c>
      <c r="L48" s="12">
        <v>27.89</v>
      </c>
      <c r="M48" s="12">
        <v>59.96</v>
      </c>
      <c r="N48" s="12">
        <f t="shared" si="0"/>
        <v>9.1005000000000003</v>
      </c>
      <c r="O48" s="12">
        <v>0.72</v>
      </c>
      <c r="P48" s="12">
        <v>4.1000000000000002E-2</v>
      </c>
      <c r="Q48" s="12">
        <v>0.23899999999999999</v>
      </c>
      <c r="R48" s="12">
        <f t="shared" si="1"/>
        <v>59.771743979999989</v>
      </c>
      <c r="S48" s="12">
        <f t="shared" si="2"/>
        <v>0.42009999999999997</v>
      </c>
      <c r="T48" s="12">
        <f t="shared" si="3"/>
        <v>0.57720199999999999</v>
      </c>
      <c r="U48" s="12">
        <f t="shared" si="4"/>
        <v>0.42279800000000001</v>
      </c>
    </row>
    <row r="49" spans="1:21" x14ac:dyDescent="0.25">
      <c r="A49" s="12" t="s">
        <v>386</v>
      </c>
      <c r="B49" s="13" t="s">
        <v>97</v>
      </c>
      <c r="C49" s="13" t="s">
        <v>247</v>
      </c>
      <c r="D49" s="12">
        <v>62</v>
      </c>
      <c r="E49" s="13" t="s">
        <v>387</v>
      </c>
      <c r="F49" s="13" t="s">
        <v>388</v>
      </c>
      <c r="G49" s="12">
        <v>13160</v>
      </c>
      <c r="H49" s="12">
        <v>556</v>
      </c>
      <c r="I49" s="12">
        <v>6.36</v>
      </c>
      <c r="J49" s="12">
        <v>4.6399999999999997</v>
      </c>
      <c r="K49" s="12">
        <v>9.33</v>
      </c>
      <c r="L49" s="12">
        <v>13.98</v>
      </c>
      <c r="M49" s="12">
        <v>65.69</v>
      </c>
      <c r="N49" s="12">
        <f t="shared" si="0"/>
        <v>10.103999999999999</v>
      </c>
      <c r="O49" s="12">
        <v>0.76800000000000002</v>
      </c>
      <c r="P49" s="12">
        <v>8.2000000000000003E-2</v>
      </c>
      <c r="Q49" s="12">
        <v>0.15</v>
      </c>
      <c r="R49" s="12">
        <f t="shared" si="1"/>
        <v>60.568554720000009</v>
      </c>
      <c r="S49" s="12">
        <f t="shared" si="2"/>
        <v>0.43859999999999999</v>
      </c>
      <c r="T49" s="12">
        <f t="shared" si="3"/>
        <v>0.61904799999999993</v>
      </c>
      <c r="U49" s="12">
        <f t="shared" si="4"/>
        <v>0.38095200000000007</v>
      </c>
    </row>
    <row r="50" spans="1:21" x14ac:dyDescent="0.25">
      <c r="A50" s="12" t="s">
        <v>389</v>
      </c>
      <c r="B50" s="13" t="s">
        <v>99</v>
      </c>
      <c r="C50" s="13" t="s">
        <v>247</v>
      </c>
      <c r="D50" s="12">
        <v>62</v>
      </c>
      <c r="E50" s="13" t="s">
        <v>390</v>
      </c>
      <c r="F50" s="13" t="s">
        <v>391</v>
      </c>
      <c r="G50" s="12">
        <v>18654</v>
      </c>
      <c r="H50" s="12">
        <v>669</v>
      </c>
      <c r="I50" s="12">
        <v>3.3</v>
      </c>
      <c r="J50" s="12">
        <v>3.13</v>
      </c>
      <c r="K50" s="12">
        <v>7.13</v>
      </c>
      <c r="L50" s="12">
        <v>18.25</v>
      </c>
      <c r="M50" s="12">
        <v>68.19</v>
      </c>
      <c r="N50" s="12">
        <f t="shared" si="0"/>
        <v>8.5715000000000003</v>
      </c>
      <c r="O50" s="12">
        <v>0.73499999999999999</v>
      </c>
      <c r="P50" s="12">
        <v>0.122</v>
      </c>
      <c r="Q50" s="12">
        <v>0.14299999999999999</v>
      </c>
      <c r="R50" s="12">
        <f t="shared" si="1"/>
        <v>61.635605339999998</v>
      </c>
      <c r="S50" s="12">
        <f t="shared" si="2"/>
        <v>0.43270000000000003</v>
      </c>
      <c r="T50" s="12">
        <f t="shared" si="3"/>
        <v>0.57555800000000001</v>
      </c>
      <c r="U50" s="12">
        <f t="shared" si="4"/>
        <v>0.42444199999999999</v>
      </c>
    </row>
    <row r="51" spans="1:21" x14ac:dyDescent="0.25">
      <c r="A51" s="12" t="s">
        <v>392</v>
      </c>
      <c r="B51" s="13" t="s">
        <v>103</v>
      </c>
      <c r="C51" s="13" t="s">
        <v>247</v>
      </c>
      <c r="D51" s="12">
        <v>63</v>
      </c>
      <c r="E51" s="13" t="s">
        <v>393</v>
      </c>
      <c r="F51" s="13" t="s">
        <v>394</v>
      </c>
      <c r="G51" s="12">
        <v>96235</v>
      </c>
      <c r="H51" s="12">
        <v>7651</v>
      </c>
      <c r="I51" s="12">
        <v>2.63</v>
      </c>
      <c r="J51" s="12">
        <v>10</v>
      </c>
      <c r="K51" s="12">
        <v>6.49</v>
      </c>
      <c r="L51" s="12">
        <v>24.59</v>
      </c>
      <c r="M51" s="12">
        <v>56.29</v>
      </c>
      <c r="N51" s="12">
        <f t="shared" si="0"/>
        <v>9.9305000000000003</v>
      </c>
      <c r="O51" s="12">
        <v>0.78100000000000003</v>
      </c>
      <c r="P51" s="12">
        <v>3.4000000000000002E-2</v>
      </c>
      <c r="Q51" s="12">
        <v>0.185</v>
      </c>
      <c r="R51" s="12">
        <f t="shared" si="1"/>
        <v>59.293380659999997</v>
      </c>
      <c r="S51" s="12">
        <f t="shared" si="2"/>
        <v>0.43769999999999998</v>
      </c>
      <c r="T51" s="12">
        <f t="shared" si="3"/>
        <v>0.64534200000000008</v>
      </c>
      <c r="U51" s="12">
        <f t="shared" si="4"/>
        <v>0.35465799999999992</v>
      </c>
    </row>
    <row r="52" spans="1:21" x14ac:dyDescent="0.25">
      <c r="A52" s="12" t="s">
        <v>395</v>
      </c>
      <c r="B52" s="13" t="s">
        <v>105</v>
      </c>
      <c r="C52" s="13" t="s">
        <v>260</v>
      </c>
      <c r="D52" s="12">
        <v>63</v>
      </c>
      <c r="E52" s="13" t="s">
        <v>396</v>
      </c>
      <c r="F52" s="13" t="s">
        <v>397</v>
      </c>
      <c r="G52" s="12">
        <v>65329</v>
      </c>
      <c r="H52" s="12">
        <v>1568</v>
      </c>
      <c r="I52" s="12">
        <v>1.1399999999999999</v>
      </c>
      <c r="J52" s="12">
        <v>2.62</v>
      </c>
      <c r="K52" s="12">
        <v>0.79</v>
      </c>
      <c r="L52" s="12">
        <v>38.380000000000003</v>
      </c>
      <c r="M52" s="12">
        <v>57.07</v>
      </c>
      <c r="N52" s="12">
        <f t="shared" si="0"/>
        <v>7.9780000000000015</v>
      </c>
      <c r="O52" s="12">
        <v>0.42599999999999999</v>
      </c>
      <c r="P52" s="12">
        <v>0.38</v>
      </c>
      <c r="Q52" s="12">
        <v>0.19400000000000001</v>
      </c>
      <c r="R52" s="12">
        <f t="shared" si="1"/>
        <v>59.862731039999993</v>
      </c>
      <c r="S52" s="12">
        <f t="shared" si="2"/>
        <v>0.36579999999999996</v>
      </c>
      <c r="T52" s="12">
        <f t="shared" si="3"/>
        <v>0.363512</v>
      </c>
      <c r="U52" s="12">
        <f t="shared" si="4"/>
        <v>0.63648799999999994</v>
      </c>
    </row>
    <row r="53" spans="1:21" x14ac:dyDescent="0.25">
      <c r="A53" s="12" t="s">
        <v>398</v>
      </c>
      <c r="B53" s="13" t="s">
        <v>107</v>
      </c>
      <c r="C53" s="13" t="s">
        <v>247</v>
      </c>
      <c r="D53" s="12">
        <v>63.5</v>
      </c>
      <c r="E53" s="13" t="s">
        <v>399</v>
      </c>
      <c r="F53" s="13" t="s">
        <v>400</v>
      </c>
      <c r="G53" s="12">
        <v>39558</v>
      </c>
      <c r="H53" s="12">
        <v>1049</v>
      </c>
      <c r="I53" s="12">
        <v>14.03</v>
      </c>
      <c r="J53" s="12">
        <v>2.5299999999999998</v>
      </c>
      <c r="K53" s="12">
        <v>36.15</v>
      </c>
      <c r="L53" s="12">
        <v>3.73</v>
      </c>
      <c r="M53" s="12">
        <v>43.56</v>
      </c>
      <c r="N53" s="12">
        <f t="shared" si="0"/>
        <v>14.919499999999999</v>
      </c>
      <c r="O53" s="12">
        <v>0.98599999999999999</v>
      </c>
      <c r="P53" s="12">
        <v>1.2999999999999999E-2</v>
      </c>
      <c r="Q53" s="12">
        <v>1E-3</v>
      </c>
      <c r="R53" s="12">
        <f t="shared" si="1"/>
        <v>51.083686139999998</v>
      </c>
      <c r="S53" s="12">
        <f t="shared" si="2"/>
        <v>0.49709999999999999</v>
      </c>
      <c r="T53" s="12">
        <f t="shared" si="3"/>
        <v>0.97236599999999995</v>
      </c>
      <c r="U53" s="12">
        <f t="shared" si="4"/>
        <v>2.7634000000000047E-2</v>
      </c>
    </row>
    <row r="54" spans="1:21" x14ac:dyDescent="0.25">
      <c r="A54" s="12" t="s">
        <v>401</v>
      </c>
      <c r="B54" s="13" t="s">
        <v>109</v>
      </c>
      <c r="C54" s="13" t="s">
        <v>260</v>
      </c>
      <c r="D54" s="12">
        <v>64</v>
      </c>
      <c r="E54" s="13" t="s">
        <v>402</v>
      </c>
      <c r="F54" s="13" t="s">
        <v>403</v>
      </c>
      <c r="G54" s="12">
        <v>9446</v>
      </c>
      <c r="H54" s="12">
        <v>788</v>
      </c>
      <c r="I54" s="12">
        <v>3.25</v>
      </c>
      <c r="J54" s="12">
        <v>5.92</v>
      </c>
      <c r="K54" s="12">
        <v>7.33</v>
      </c>
      <c r="L54" s="12">
        <v>21.85</v>
      </c>
      <c r="M54" s="12">
        <v>61.65</v>
      </c>
      <c r="N54" s="12">
        <f t="shared" si="0"/>
        <v>9.3094999999999999</v>
      </c>
      <c r="O54" s="12">
        <v>0.879</v>
      </c>
      <c r="P54" s="12">
        <v>0.01</v>
      </c>
      <c r="Q54" s="12">
        <v>0.111</v>
      </c>
      <c r="R54" s="12">
        <f t="shared" si="1"/>
        <v>56.458168860000001</v>
      </c>
      <c r="S54" s="12">
        <f t="shared" si="2"/>
        <v>0.4647</v>
      </c>
      <c r="T54" s="12">
        <f t="shared" si="3"/>
        <v>0.78506200000000004</v>
      </c>
      <c r="U54" s="12">
        <f t="shared" si="4"/>
        <v>0.21493799999999996</v>
      </c>
    </row>
    <row r="55" spans="1:21" x14ac:dyDescent="0.25">
      <c r="A55" s="12" t="s">
        <v>404</v>
      </c>
      <c r="B55" s="13" t="s">
        <v>111</v>
      </c>
      <c r="C55" s="13" t="s">
        <v>247</v>
      </c>
      <c r="D55" s="12">
        <v>64.5</v>
      </c>
      <c r="E55" s="13" t="s">
        <v>405</v>
      </c>
      <c r="F55" s="13" t="s">
        <v>406</v>
      </c>
      <c r="G55" s="12">
        <v>35072</v>
      </c>
      <c r="H55" s="12">
        <v>1247</v>
      </c>
      <c r="I55" s="12">
        <v>1.72</v>
      </c>
      <c r="J55" s="12">
        <v>3.34</v>
      </c>
      <c r="K55" s="12">
        <v>2.5099999999999998</v>
      </c>
      <c r="L55" s="12">
        <v>34.56</v>
      </c>
      <c r="M55" s="12">
        <v>57.87</v>
      </c>
      <c r="N55" s="12">
        <f t="shared" si="0"/>
        <v>8.3350000000000009</v>
      </c>
      <c r="O55" s="12">
        <v>0.26700000000000002</v>
      </c>
      <c r="P55" s="12">
        <v>0.29399999999999998</v>
      </c>
      <c r="Q55" s="12">
        <v>0.439</v>
      </c>
      <c r="R55" s="12">
        <f t="shared" si="1"/>
        <v>51.053696299999999</v>
      </c>
      <c r="S55" s="12">
        <f t="shared" si="2"/>
        <v>0.3095</v>
      </c>
      <c r="T55" s="12">
        <f t="shared" si="3"/>
        <v>0.35044600000000004</v>
      </c>
      <c r="U55" s="12">
        <f t="shared" si="4"/>
        <v>0.64955399999999996</v>
      </c>
    </row>
    <row r="56" spans="1:21" x14ac:dyDescent="0.25">
      <c r="A56" s="12" t="s">
        <v>407</v>
      </c>
      <c r="B56" s="13" t="s">
        <v>113</v>
      </c>
      <c r="C56" s="13" t="s">
        <v>247</v>
      </c>
      <c r="D56" s="12">
        <v>65.5</v>
      </c>
      <c r="E56" s="13" t="s">
        <v>408</v>
      </c>
      <c r="F56" s="13" t="s">
        <v>409</v>
      </c>
      <c r="G56" s="12">
        <v>14430</v>
      </c>
      <c r="H56" s="12">
        <v>493</v>
      </c>
      <c r="I56" s="12">
        <v>2.33</v>
      </c>
      <c r="J56" s="12">
        <v>5.01</v>
      </c>
      <c r="K56" s="12">
        <v>4.2</v>
      </c>
      <c r="L56" s="12">
        <v>20.77</v>
      </c>
      <c r="M56" s="12">
        <v>67.69</v>
      </c>
      <c r="N56" s="12">
        <f t="shared" si="0"/>
        <v>8.3925000000000001</v>
      </c>
      <c r="O56" s="12">
        <v>0.69299999999999995</v>
      </c>
      <c r="P56" s="12">
        <v>1.7999999999999999E-2</v>
      </c>
      <c r="Q56" s="12">
        <v>0.28899999999999998</v>
      </c>
      <c r="R56" s="12">
        <f t="shared" si="1"/>
        <v>58.82906882000001</v>
      </c>
      <c r="S56" s="12">
        <f t="shared" si="2"/>
        <v>0.40970000000000001</v>
      </c>
      <c r="T56" s="12">
        <f t="shared" si="3"/>
        <v>0.56409399999999987</v>
      </c>
      <c r="U56" s="12">
        <f t="shared" si="4"/>
        <v>0.43590600000000013</v>
      </c>
    </row>
    <row r="57" spans="1:21" x14ac:dyDescent="0.25">
      <c r="A57" s="12" t="s">
        <v>410</v>
      </c>
      <c r="B57" s="13" t="s">
        <v>115</v>
      </c>
      <c r="C57" s="13" t="s">
        <v>247</v>
      </c>
      <c r="D57" s="12">
        <v>66.5</v>
      </c>
      <c r="E57" s="13" t="s">
        <v>411</v>
      </c>
      <c r="F57" s="13" t="s">
        <v>412</v>
      </c>
      <c r="G57" s="12">
        <v>46271</v>
      </c>
      <c r="H57" s="12">
        <v>1669</v>
      </c>
      <c r="I57" s="12">
        <v>1.22</v>
      </c>
      <c r="J57" s="12">
        <v>2.31</v>
      </c>
      <c r="K57" s="12">
        <v>1.95</v>
      </c>
      <c r="L57" s="12">
        <v>12.03</v>
      </c>
      <c r="M57" s="12">
        <v>82.49</v>
      </c>
      <c r="N57" s="12">
        <f t="shared" si="0"/>
        <v>6.7465000000000002</v>
      </c>
      <c r="O57" s="12">
        <v>0.56699999999999995</v>
      </c>
      <c r="P57" s="12">
        <v>2.5999999999999999E-2</v>
      </c>
      <c r="Q57" s="12">
        <v>0.40699999999999997</v>
      </c>
      <c r="R57" s="12">
        <f t="shared" si="1"/>
        <v>56.359172219999984</v>
      </c>
      <c r="S57" s="12">
        <f t="shared" si="2"/>
        <v>0.37269999999999992</v>
      </c>
      <c r="T57" s="12">
        <f t="shared" si="3"/>
        <v>0.48781399999999997</v>
      </c>
      <c r="U57" s="12">
        <f t="shared" si="4"/>
        <v>0.51218600000000003</v>
      </c>
    </row>
    <row r="58" spans="1:21" x14ac:dyDescent="0.25">
      <c r="A58" s="12" t="s">
        <v>413</v>
      </c>
      <c r="B58" s="13" t="s">
        <v>117</v>
      </c>
      <c r="C58" s="13" t="s">
        <v>247</v>
      </c>
      <c r="D58" s="12">
        <v>68</v>
      </c>
      <c r="E58" s="13" t="s">
        <v>414</v>
      </c>
      <c r="F58" s="13" t="s">
        <v>415</v>
      </c>
      <c r="G58" s="12">
        <v>12725</v>
      </c>
      <c r="H58" s="12">
        <v>658</v>
      </c>
      <c r="I58" s="12">
        <v>1.78</v>
      </c>
      <c r="J58" s="12">
        <v>4.2</v>
      </c>
      <c r="K58" s="12">
        <v>2.5299999999999998</v>
      </c>
      <c r="L58" s="12">
        <v>13.16</v>
      </c>
      <c r="M58" s="12">
        <v>78.56</v>
      </c>
      <c r="N58" s="12">
        <f t="shared" si="0"/>
        <v>7.4745000000000008</v>
      </c>
      <c r="O58" s="14">
        <v>0.65</v>
      </c>
      <c r="P58" s="12">
        <v>2.4E-2</v>
      </c>
      <c r="Q58" s="12">
        <v>0.32600000000000001</v>
      </c>
      <c r="R58" s="12">
        <f t="shared" si="1"/>
        <v>58.443551519999993</v>
      </c>
      <c r="S58" s="12">
        <f t="shared" si="2"/>
        <v>0.39739999999999998</v>
      </c>
      <c r="T58" s="12">
        <f t="shared" si="3"/>
        <v>0.52935200000000004</v>
      </c>
      <c r="U58" s="12">
        <f t="shared" si="4"/>
        <v>0.47064799999999996</v>
      </c>
    </row>
    <row r="59" spans="1:21" x14ac:dyDescent="0.25">
      <c r="A59" s="12" t="s">
        <v>416</v>
      </c>
      <c r="B59" s="13" t="s">
        <v>119</v>
      </c>
      <c r="C59" s="13" t="s">
        <v>247</v>
      </c>
      <c r="D59" s="12">
        <v>68.5</v>
      </c>
      <c r="E59" s="13" t="s">
        <v>417</v>
      </c>
      <c r="F59" s="13" t="s">
        <v>418</v>
      </c>
      <c r="G59" s="12">
        <v>7334</v>
      </c>
      <c r="H59" s="12">
        <v>760</v>
      </c>
      <c r="I59" s="12">
        <v>6.59</v>
      </c>
      <c r="J59" s="12">
        <v>7.21</v>
      </c>
      <c r="K59" s="12">
        <v>8.25</v>
      </c>
      <c r="L59" s="15">
        <v>20.7</v>
      </c>
      <c r="M59" s="12">
        <v>57.25</v>
      </c>
      <c r="N59" s="12">
        <f t="shared" si="0"/>
        <v>10.938000000000001</v>
      </c>
      <c r="O59" s="12">
        <v>0.80300000000000005</v>
      </c>
      <c r="P59" s="12">
        <v>2.7E-2</v>
      </c>
      <c r="Q59" s="12">
        <v>0.17</v>
      </c>
      <c r="R59" s="12">
        <f t="shared" si="1"/>
        <v>58.801930319999997</v>
      </c>
      <c r="S59" s="12">
        <f t="shared" si="2"/>
        <v>0.44359999999999999</v>
      </c>
      <c r="T59" s="12">
        <f t="shared" si="3"/>
        <v>0.67443800000000009</v>
      </c>
      <c r="U59" s="12">
        <f t="shared" si="4"/>
        <v>0.32556199999999991</v>
      </c>
    </row>
    <row r="60" spans="1:21" x14ac:dyDescent="0.25">
      <c r="A60" s="12" t="s">
        <v>419</v>
      </c>
      <c r="B60" s="13" t="s">
        <v>121</v>
      </c>
      <c r="C60" s="13" t="s">
        <v>260</v>
      </c>
      <c r="D60" s="12">
        <v>68.5</v>
      </c>
      <c r="E60" s="13" t="s">
        <v>420</v>
      </c>
      <c r="F60" s="13" t="s">
        <v>421</v>
      </c>
      <c r="G60" s="12">
        <v>22342</v>
      </c>
      <c r="H60" s="12">
        <v>1084</v>
      </c>
      <c r="I60" s="12">
        <v>2.5</v>
      </c>
      <c r="J60" s="12">
        <v>3.48</v>
      </c>
      <c r="K60" s="12">
        <v>3.24</v>
      </c>
      <c r="L60" s="12">
        <v>23.71</v>
      </c>
      <c r="M60" s="12">
        <v>67.069999999999993</v>
      </c>
      <c r="N60" s="12">
        <f t="shared" si="0"/>
        <v>8.2055000000000007</v>
      </c>
      <c r="O60" s="12">
        <v>0.71099999999999997</v>
      </c>
      <c r="P60" s="12">
        <v>6.9000000000000006E-2</v>
      </c>
      <c r="Q60" s="12">
        <v>0.22</v>
      </c>
      <c r="R60" s="12">
        <f t="shared" si="1"/>
        <v>60.564182359999982</v>
      </c>
      <c r="S60" s="12">
        <f t="shared" si="2"/>
        <v>0.42019999999999996</v>
      </c>
      <c r="T60" s="12">
        <f t="shared" si="3"/>
        <v>0.55868200000000001</v>
      </c>
      <c r="U60" s="12">
        <f t="shared" si="4"/>
        <v>0.44131799999999999</v>
      </c>
    </row>
    <row r="61" spans="1:21" x14ac:dyDescent="0.25">
      <c r="A61" s="12" t="s">
        <v>422</v>
      </c>
      <c r="B61" s="13" t="s">
        <v>123</v>
      </c>
      <c r="C61" s="13" t="s">
        <v>247</v>
      </c>
      <c r="D61" s="12">
        <v>70.5</v>
      </c>
      <c r="E61" s="13" t="s">
        <v>423</v>
      </c>
      <c r="F61" s="13" t="s">
        <v>424</v>
      </c>
      <c r="G61" s="12">
        <v>40452</v>
      </c>
      <c r="H61" s="12">
        <v>7963</v>
      </c>
      <c r="I61" s="12">
        <v>4.57</v>
      </c>
      <c r="J61" s="12">
        <v>12.33</v>
      </c>
      <c r="K61" s="12">
        <v>7.59</v>
      </c>
      <c r="L61" s="12">
        <v>32.15</v>
      </c>
      <c r="M61" s="12">
        <v>43.36</v>
      </c>
      <c r="N61" s="12">
        <f t="shared" si="0"/>
        <v>11.660499999999999</v>
      </c>
      <c r="O61" s="12">
        <v>0.83399999999999996</v>
      </c>
      <c r="P61" s="12">
        <v>5.3999999999999999E-2</v>
      </c>
      <c r="Q61" s="12">
        <v>0.112</v>
      </c>
      <c r="R61" s="12">
        <f t="shared" si="1"/>
        <v>58.726111040000006</v>
      </c>
      <c r="S61" s="12">
        <f t="shared" si="2"/>
        <v>0.4556</v>
      </c>
      <c r="T61" s="12">
        <f t="shared" si="3"/>
        <v>0.71101599999999998</v>
      </c>
      <c r="U61" s="12">
        <f t="shared" si="4"/>
        <v>0.28898400000000002</v>
      </c>
    </row>
    <row r="62" spans="1:21" x14ac:dyDescent="0.25">
      <c r="A62" s="12" t="s">
        <v>425</v>
      </c>
      <c r="B62" s="13" t="s">
        <v>127</v>
      </c>
      <c r="C62" s="13" t="s">
        <v>260</v>
      </c>
      <c r="D62" s="12">
        <v>71</v>
      </c>
      <c r="E62" s="13" t="s">
        <v>426</v>
      </c>
      <c r="F62" s="13" t="s">
        <v>427</v>
      </c>
      <c r="G62" s="12">
        <v>11333</v>
      </c>
      <c r="H62" s="12">
        <v>586</v>
      </c>
      <c r="I62" s="12">
        <v>1.02</v>
      </c>
      <c r="J62" s="12">
        <v>2.64</v>
      </c>
      <c r="K62" s="12">
        <v>4.8600000000000003</v>
      </c>
      <c r="L62" s="12">
        <v>5.62</v>
      </c>
      <c r="M62" s="12">
        <v>85.86</v>
      </c>
      <c r="N62" s="12">
        <f t="shared" si="0"/>
        <v>6.7030000000000003</v>
      </c>
      <c r="O62" s="12">
        <v>0.60599999999999998</v>
      </c>
      <c r="P62" s="12">
        <v>4.9000000000000002E-2</v>
      </c>
      <c r="Q62" s="12">
        <v>0.34499999999999997</v>
      </c>
      <c r="R62" s="12">
        <f t="shared" si="1"/>
        <v>58.443440459999998</v>
      </c>
      <c r="S62" s="12">
        <f t="shared" si="2"/>
        <v>0.38669999999999999</v>
      </c>
      <c r="T62" s="12">
        <f t="shared" si="3"/>
        <v>0.48866199999999999</v>
      </c>
      <c r="U62" s="12">
        <f t="shared" si="4"/>
        <v>0.51133800000000007</v>
      </c>
    </row>
    <row r="63" spans="1:21" x14ac:dyDescent="0.25">
      <c r="A63" s="12" t="s">
        <v>428</v>
      </c>
      <c r="B63" s="13" t="s">
        <v>125</v>
      </c>
      <c r="C63" s="13" t="s">
        <v>260</v>
      </c>
      <c r="D63" s="12">
        <v>71</v>
      </c>
      <c r="E63" s="13" t="s">
        <v>429</v>
      </c>
      <c r="F63" s="13" t="s">
        <v>430</v>
      </c>
      <c r="G63" s="12">
        <v>189454</v>
      </c>
      <c r="H63" s="12">
        <v>6693</v>
      </c>
      <c r="I63" s="12">
        <v>1.24</v>
      </c>
      <c r="J63" s="12">
        <v>7.65</v>
      </c>
      <c r="K63" s="12">
        <v>0.24</v>
      </c>
      <c r="L63" s="12">
        <v>20.62</v>
      </c>
      <c r="M63" s="12">
        <v>70.25</v>
      </c>
      <c r="N63" s="12">
        <f t="shared" si="0"/>
        <v>8.0809999999999995</v>
      </c>
      <c r="O63" s="12">
        <v>0.61299999999999999</v>
      </c>
      <c r="P63" s="12">
        <v>6.8000000000000005E-2</v>
      </c>
      <c r="Q63" s="12">
        <v>0.31900000000000001</v>
      </c>
      <c r="R63" s="12">
        <f t="shared" si="1"/>
        <v>59.302243219999994</v>
      </c>
      <c r="S63" s="12">
        <f t="shared" si="2"/>
        <v>0.39069999999999999</v>
      </c>
      <c r="T63" s="12">
        <f t="shared" si="3"/>
        <v>0.48215399999999997</v>
      </c>
      <c r="U63" s="12">
        <f t="shared" si="4"/>
        <v>0.51784600000000003</v>
      </c>
    </row>
    <row r="64" spans="1:21" x14ac:dyDescent="0.25">
      <c r="A64" s="12" t="s">
        <v>431</v>
      </c>
      <c r="B64" s="13" t="s">
        <v>129</v>
      </c>
      <c r="C64" s="13" t="s">
        <v>247</v>
      </c>
      <c r="D64" s="12">
        <v>72.5</v>
      </c>
      <c r="E64" s="13" t="s">
        <v>432</v>
      </c>
      <c r="F64" s="13" t="s">
        <v>433</v>
      </c>
      <c r="G64" s="12">
        <v>6927</v>
      </c>
      <c r="H64" s="12">
        <v>317</v>
      </c>
      <c r="I64" s="12">
        <v>7.78</v>
      </c>
      <c r="J64" s="12">
        <v>2.71</v>
      </c>
      <c r="K64" s="12">
        <v>23.01</v>
      </c>
      <c r="L64" s="12">
        <v>9.9</v>
      </c>
      <c r="M64" s="12">
        <v>56.6</v>
      </c>
      <c r="N64" s="12">
        <f t="shared" si="0"/>
        <v>11.450000000000001</v>
      </c>
      <c r="O64" s="12">
        <v>0.85199999999999998</v>
      </c>
      <c r="P64" s="12">
        <v>8.0000000000000002E-3</v>
      </c>
      <c r="Q64" s="12">
        <v>0.14000000000000001</v>
      </c>
      <c r="R64" s="12">
        <f t="shared" si="1"/>
        <v>57.252276480000006</v>
      </c>
      <c r="S64" s="12">
        <f t="shared" si="2"/>
        <v>0.45640000000000003</v>
      </c>
      <c r="T64" s="12">
        <f t="shared" si="3"/>
        <v>0.7455679999999999</v>
      </c>
      <c r="U64" s="12">
        <f t="shared" si="4"/>
        <v>0.2544320000000001</v>
      </c>
    </row>
    <row r="65" spans="1:21" x14ac:dyDescent="0.25">
      <c r="A65" s="12" t="s">
        <v>434</v>
      </c>
      <c r="B65" s="13" t="s">
        <v>133</v>
      </c>
      <c r="C65" s="13" t="s">
        <v>247</v>
      </c>
      <c r="D65" s="12">
        <v>75</v>
      </c>
      <c r="E65" s="13" t="s">
        <v>435</v>
      </c>
      <c r="F65" s="13" t="s">
        <v>436</v>
      </c>
      <c r="G65" s="12">
        <v>5482</v>
      </c>
      <c r="H65" s="12">
        <v>413</v>
      </c>
      <c r="I65" s="12">
        <v>2.41</v>
      </c>
      <c r="J65" s="12">
        <v>3.05</v>
      </c>
      <c r="K65" s="12">
        <v>8.41</v>
      </c>
      <c r="L65" s="12">
        <v>10.63</v>
      </c>
      <c r="M65" s="12">
        <v>75.5</v>
      </c>
      <c r="N65" s="12">
        <f t="shared" si="0"/>
        <v>7.9465000000000003</v>
      </c>
      <c r="O65" s="12">
        <v>0.78800000000000003</v>
      </c>
      <c r="P65" s="14">
        <v>0.01</v>
      </c>
      <c r="Q65" s="12">
        <v>0.20200000000000001</v>
      </c>
      <c r="R65" s="12">
        <f t="shared" si="1"/>
        <v>58.530768480000006</v>
      </c>
      <c r="S65" s="12">
        <f t="shared" si="2"/>
        <v>0.43740000000000001</v>
      </c>
      <c r="T65" s="12">
        <f t="shared" si="3"/>
        <v>0.66184799999999999</v>
      </c>
      <c r="U65" s="12">
        <f t="shared" si="4"/>
        <v>0.33815200000000001</v>
      </c>
    </row>
    <row r="66" spans="1:21" x14ac:dyDescent="0.25">
      <c r="A66" s="12" t="s">
        <v>437</v>
      </c>
      <c r="B66" s="13" t="s">
        <v>131</v>
      </c>
      <c r="C66" s="13" t="s">
        <v>247</v>
      </c>
      <c r="D66" s="12">
        <v>75</v>
      </c>
      <c r="E66" s="13" t="s">
        <v>438</v>
      </c>
      <c r="F66" s="13" t="s">
        <v>439</v>
      </c>
      <c r="G66" s="12">
        <v>3852</v>
      </c>
      <c r="H66" s="12">
        <v>286</v>
      </c>
      <c r="I66" s="12">
        <v>4.78</v>
      </c>
      <c r="J66" s="12">
        <v>3.45</v>
      </c>
      <c r="K66" s="12">
        <v>10.62</v>
      </c>
      <c r="L66" s="12">
        <v>28.63</v>
      </c>
      <c r="M66" s="12">
        <v>52.52</v>
      </c>
      <c r="N66" s="12">
        <f t="shared" si="0"/>
        <v>10.095500000000001</v>
      </c>
      <c r="O66" s="12">
        <v>0.79</v>
      </c>
      <c r="P66" s="12">
        <v>1.2E-2</v>
      </c>
      <c r="Q66" s="12">
        <v>0.19800000000000001</v>
      </c>
      <c r="R66" s="12">
        <f t="shared" si="1"/>
        <v>58.567708639999992</v>
      </c>
      <c r="S66" s="12">
        <f t="shared" si="2"/>
        <v>0.43820000000000003</v>
      </c>
      <c r="T66" s="12">
        <f t="shared" si="3"/>
        <v>0.66344800000000015</v>
      </c>
      <c r="U66" s="12">
        <f t="shared" si="4"/>
        <v>0.33655199999999985</v>
      </c>
    </row>
    <row r="67" spans="1:21" x14ac:dyDescent="0.25">
      <c r="A67" s="12" t="s">
        <v>440</v>
      </c>
      <c r="B67" s="13" t="s">
        <v>136</v>
      </c>
      <c r="C67" s="13" t="s">
        <v>260</v>
      </c>
      <c r="D67" s="12">
        <v>78</v>
      </c>
      <c r="E67" s="13" t="s">
        <v>441</v>
      </c>
      <c r="F67" s="13" t="s">
        <v>442</v>
      </c>
      <c r="G67" s="12">
        <v>2451</v>
      </c>
      <c r="H67" s="12">
        <v>249</v>
      </c>
      <c r="I67" s="12">
        <v>2.77</v>
      </c>
      <c r="J67" s="12">
        <v>1.1399999999999999</v>
      </c>
      <c r="K67" s="12">
        <v>8.1199999999999992</v>
      </c>
      <c r="L67" s="12">
        <v>23.75</v>
      </c>
      <c r="M67" s="12">
        <v>64.22</v>
      </c>
      <c r="N67" s="12">
        <f t="shared" ref="N67:N102" si="5">SUM(I67*0.45,J67*0.25,K67*0.15,L67*0.1,M67*0.05)</f>
        <v>8.3354999999999997</v>
      </c>
      <c r="O67" s="12">
        <v>0.97</v>
      </c>
      <c r="P67" s="12">
        <v>2E-3</v>
      </c>
      <c r="Q67" s="12">
        <v>2.8000000000000001E-2</v>
      </c>
      <c r="R67" s="12">
        <f t="shared" ref="R67:R102" si="6">SUM(S67*(1+U67)*100)</f>
        <v>51.984285439999987</v>
      </c>
      <c r="S67" s="12">
        <f t="shared" ref="S67:S102" si="7">SUM(O67*0.5,P67*0.3,Q67*0.2)</f>
        <v>0.49119999999999997</v>
      </c>
      <c r="T67" s="12">
        <f t="shared" ref="T67:T102" si="8">SUM(O67*O67,P67*P67,Q67*Q67)</f>
        <v>0.94168799999999997</v>
      </c>
      <c r="U67" s="12">
        <f t="shared" ref="U67:U102" si="9">SUM(1-T67)</f>
        <v>5.831200000000003E-2</v>
      </c>
    </row>
    <row r="68" spans="1:21" x14ac:dyDescent="0.25">
      <c r="A68" s="12" t="s">
        <v>443</v>
      </c>
      <c r="B68" s="13" t="s">
        <v>140</v>
      </c>
      <c r="C68" s="13" t="s">
        <v>247</v>
      </c>
      <c r="D68" s="12">
        <v>78.5</v>
      </c>
      <c r="E68" s="13" t="s">
        <v>444</v>
      </c>
      <c r="F68" s="13" t="s">
        <v>445</v>
      </c>
      <c r="G68" s="12">
        <v>519973</v>
      </c>
      <c r="H68" s="12">
        <v>7269</v>
      </c>
      <c r="I68" s="12">
        <v>0.32</v>
      </c>
      <c r="J68" s="12">
        <v>1.05</v>
      </c>
      <c r="K68" s="12">
        <v>0.28000000000000003</v>
      </c>
      <c r="L68" s="12">
        <v>69.62</v>
      </c>
      <c r="M68" s="12">
        <v>28.73</v>
      </c>
      <c r="N68" s="12">
        <f t="shared" si="5"/>
        <v>8.8470000000000013</v>
      </c>
      <c r="O68" s="12">
        <v>0.313</v>
      </c>
      <c r="P68" s="12">
        <v>6.3E-2</v>
      </c>
      <c r="Q68" s="12">
        <v>0.624</v>
      </c>
      <c r="R68" s="12">
        <f t="shared" si="6"/>
        <v>45.290753720000005</v>
      </c>
      <c r="S68" s="12">
        <f t="shared" si="7"/>
        <v>0.30020000000000002</v>
      </c>
      <c r="T68" s="12">
        <f t="shared" si="8"/>
        <v>0.49131400000000003</v>
      </c>
      <c r="U68" s="12">
        <f t="shared" si="9"/>
        <v>0.50868599999999997</v>
      </c>
    </row>
    <row r="69" spans="1:21" x14ac:dyDescent="0.25">
      <c r="A69" s="12" t="s">
        <v>446</v>
      </c>
      <c r="B69" s="13" t="s">
        <v>138</v>
      </c>
      <c r="C69" s="13" t="s">
        <v>260</v>
      </c>
      <c r="D69" s="12">
        <v>78.5</v>
      </c>
      <c r="E69" s="13" t="s">
        <v>447</v>
      </c>
      <c r="F69" s="13" t="s">
        <v>448</v>
      </c>
      <c r="G69" s="12">
        <v>9304</v>
      </c>
      <c r="H69" s="12">
        <v>661</v>
      </c>
      <c r="I69" s="12">
        <v>2.2799999999999998</v>
      </c>
      <c r="J69" s="12">
        <v>3.25</v>
      </c>
      <c r="K69" s="12">
        <v>6.32</v>
      </c>
      <c r="L69" s="12">
        <v>24.49</v>
      </c>
      <c r="M69" s="12">
        <v>63.66</v>
      </c>
      <c r="N69" s="12">
        <f t="shared" si="5"/>
        <v>8.4184999999999999</v>
      </c>
      <c r="O69" s="12">
        <v>0.752</v>
      </c>
      <c r="P69" s="12">
        <v>2.3E-2</v>
      </c>
      <c r="Q69" s="12">
        <v>0.22500000000000001</v>
      </c>
      <c r="R69" s="12">
        <f t="shared" si="6"/>
        <v>59.193204179999995</v>
      </c>
      <c r="S69" s="12">
        <f t="shared" si="7"/>
        <v>0.4279</v>
      </c>
      <c r="T69" s="12">
        <f t="shared" si="8"/>
        <v>0.61665800000000004</v>
      </c>
      <c r="U69" s="12">
        <f t="shared" si="9"/>
        <v>0.38334199999999996</v>
      </c>
    </row>
    <row r="70" spans="1:21" x14ac:dyDescent="0.25">
      <c r="A70" s="12" t="s">
        <v>449</v>
      </c>
      <c r="B70" s="13" t="s">
        <v>142</v>
      </c>
      <c r="C70" s="13" t="s">
        <v>260</v>
      </c>
      <c r="D70" s="12">
        <v>79</v>
      </c>
      <c r="E70" s="13" t="s">
        <v>450</v>
      </c>
      <c r="F70" s="13" t="s">
        <v>451</v>
      </c>
      <c r="G70" s="12">
        <v>13972</v>
      </c>
      <c r="H70" s="12">
        <v>5398</v>
      </c>
      <c r="I70" s="12">
        <v>2.85</v>
      </c>
      <c r="J70" s="12">
        <v>8.0399999999999991</v>
      </c>
      <c r="K70" s="15">
        <v>2.96</v>
      </c>
      <c r="L70" s="12">
        <v>50.44</v>
      </c>
      <c r="M70" s="12">
        <v>35.71</v>
      </c>
      <c r="N70" s="12">
        <f t="shared" si="5"/>
        <v>10.566000000000001</v>
      </c>
      <c r="O70" s="12">
        <v>0.94</v>
      </c>
      <c r="P70" s="12">
        <v>0.01</v>
      </c>
      <c r="Q70" s="14">
        <v>0.05</v>
      </c>
      <c r="R70" s="12">
        <f t="shared" si="6"/>
        <v>53.796540000000007</v>
      </c>
      <c r="S70" s="12">
        <f t="shared" si="7"/>
        <v>0.48299999999999998</v>
      </c>
      <c r="T70" s="12">
        <f t="shared" si="8"/>
        <v>0.88619999999999988</v>
      </c>
      <c r="U70" s="12">
        <f t="shared" si="9"/>
        <v>0.11380000000000012</v>
      </c>
    </row>
    <row r="71" spans="1:21" x14ac:dyDescent="0.25">
      <c r="A71" s="12" t="s">
        <v>452</v>
      </c>
      <c r="B71" s="13" t="s">
        <v>144</v>
      </c>
      <c r="C71" s="13" t="s">
        <v>247</v>
      </c>
      <c r="D71" s="12">
        <v>81</v>
      </c>
      <c r="E71" s="13" t="s">
        <v>453</v>
      </c>
      <c r="F71" s="13" t="s">
        <v>454</v>
      </c>
      <c r="G71" s="12">
        <v>8156</v>
      </c>
      <c r="H71" s="12">
        <v>1018</v>
      </c>
      <c r="I71" s="12">
        <v>3.54</v>
      </c>
      <c r="J71" s="12">
        <v>3.91</v>
      </c>
      <c r="K71" s="12">
        <v>4.5199999999999996</v>
      </c>
      <c r="L71" s="12">
        <v>44.47</v>
      </c>
      <c r="M71" s="12">
        <v>43.56</v>
      </c>
      <c r="N71" s="12">
        <f t="shared" si="5"/>
        <v>9.8734999999999999</v>
      </c>
      <c r="O71" s="12">
        <v>0.91400000000000003</v>
      </c>
      <c r="P71" s="12">
        <v>6.0000000000000001E-3</v>
      </c>
      <c r="Q71" s="12">
        <v>0.08</v>
      </c>
      <c r="R71" s="12">
        <f t="shared" si="6"/>
        <v>54.989816640000001</v>
      </c>
      <c r="S71" s="12">
        <f t="shared" si="7"/>
        <v>0.47480000000000006</v>
      </c>
      <c r="T71" s="12">
        <f t="shared" si="8"/>
        <v>0.84183200000000002</v>
      </c>
      <c r="U71" s="12">
        <f t="shared" si="9"/>
        <v>0.15816799999999998</v>
      </c>
    </row>
    <row r="72" spans="1:21" x14ac:dyDescent="0.25">
      <c r="A72" s="12" t="s">
        <v>455</v>
      </c>
      <c r="B72" s="13" t="s">
        <v>146</v>
      </c>
      <c r="C72" s="13" t="s">
        <v>247</v>
      </c>
      <c r="D72" s="12">
        <v>81.5</v>
      </c>
      <c r="E72" s="13" t="s">
        <v>456</v>
      </c>
      <c r="F72" s="13" t="s">
        <v>457</v>
      </c>
      <c r="G72" s="12">
        <v>253590</v>
      </c>
      <c r="H72" s="12">
        <v>3820</v>
      </c>
      <c r="I72" s="12">
        <v>1.41</v>
      </c>
      <c r="J72" s="12">
        <v>2.2799999999999998</v>
      </c>
      <c r="K72" s="12">
        <v>2.77</v>
      </c>
      <c r="L72" s="12">
        <v>18.579999999999998</v>
      </c>
      <c r="M72" s="12">
        <v>74.959999999999994</v>
      </c>
      <c r="N72" s="12">
        <f t="shared" si="5"/>
        <v>7.2259999999999991</v>
      </c>
      <c r="O72" s="12">
        <v>0.66600000000000004</v>
      </c>
      <c r="P72" s="12">
        <v>4.2999999999999997E-2</v>
      </c>
      <c r="Q72" s="12">
        <v>0.29099999999999998</v>
      </c>
      <c r="R72" s="12">
        <f t="shared" si="6"/>
        <v>59.399224740000001</v>
      </c>
      <c r="S72" s="12">
        <f t="shared" si="7"/>
        <v>0.40410000000000001</v>
      </c>
      <c r="T72" s="12">
        <f t="shared" si="8"/>
        <v>0.53008600000000006</v>
      </c>
      <c r="U72" s="12">
        <f t="shared" si="9"/>
        <v>0.46991399999999994</v>
      </c>
    </row>
    <row r="73" spans="1:21" x14ac:dyDescent="0.25">
      <c r="A73" s="12" t="s">
        <v>458</v>
      </c>
      <c r="B73" s="13" t="s">
        <v>148</v>
      </c>
      <c r="C73" s="13" t="s">
        <v>247</v>
      </c>
      <c r="D73" s="12">
        <v>82.5</v>
      </c>
      <c r="E73" s="13" t="s">
        <v>459</v>
      </c>
      <c r="F73" s="13" t="s">
        <v>460</v>
      </c>
      <c r="G73" s="12">
        <v>7350</v>
      </c>
      <c r="H73" s="12">
        <v>944</v>
      </c>
      <c r="I73" s="12">
        <v>5.63</v>
      </c>
      <c r="J73" s="12">
        <v>6.33</v>
      </c>
      <c r="K73" s="12">
        <v>7.46</v>
      </c>
      <c r="L73" s="12">
        <v>19.41</v>
      </c>
      <c r="M73" s="12">
        <v>61.17</v>
      </c>
      <c r="N73" s="12">
        <f t="shared" si="5"/>
        <v>10.234500000000001</v>
      </c>
      <c r="O73" s="12">
        <v>0.85799999999999998</v>
      </c>
      <c r="P73" s="12">
        <v>1.6E-2</v>
      </c>
      <c r="Q73" s="12">
        <v>0.126</v>
      </c>
      <c r="R73" s="12">
        <f t="shared" si="6"/>
        <v>57.269613600000014</v>
      </c>
      <c r="S73" s="12">
        <f t="shared" si="7"/>
        <v>0.45900000000000002</v>
      </c>
      <c r="T73" s="12">
        <f t="shared" si="8"/>
        <v>0.75229599999999996</v>
      </c>
      <c r="U73" s="12">
        <f t="shared" si="9"/>
        <v>0.24770400000000004</v>
      </c>
    </row>
    <row r="74" spans="1:21" x14ac:dyDescent="0.25">
      <c r="A74" s="12" t="s">
        <v>461</v>
      </c>
      <c r="B74" s="13" t="s">
        <v>150</v>
      </c>
      <c r="C74" s="13" t="s">
        <v>247</v>
      </c>
      <c r="D74" s="12">
        <v>86.5</v>
      </c>
      <c r="E74" s="13" t="s">
        <v>462</v>
      </c>
      <c r="F74" s="13" t="s">
        <v>463</v>
      </c>
      <c r="G74" s="12">
        <v>2554</v>
      </c>
      <c r="H74" s="12">
        <v>195</v>
      </c>
      <c r="I74" s="12">
        <v>1.45</v>
      </c>
      <c r="J74" s="12">
        <v>1.1000000000000001</v>
      </c>
      <c r="K74" s="12">
        <v>11.28</v>
      </c>
      <c r="L74" s="12">
        <v>21.57</v>
      </c>
      <c r="M74" s="12">
        <v>64.599999999999994</v>
      </c>
      <c r="N74" s="12">
        <f t="shared" si="5"/>
        <v>8.0065000000000008</v>
      </c>
      <c r="O74" s="12">
        <v>0.93400000000000005</v>
      </c>
      <c r="P74" s="12">
        <v>4.0000000000000001E-3</v>
      </c>
      <c r="Q74" s="12">
        <v>6.2E-2</v>
      </c>
      <c r="R74" s="12">
        <f t="shared" si="6"/>
        <v>54.009059039999997</v>
      </c>
      <c r="S74" s="12">
        <f t="shared" si="7"/>
        <v>0.48060000000000003</v>
      </c>
      <c r="T74" s="12">
        <f t="shared" si="8"/>
        <v>0.87621600000000011</v>
      </c>
      <c r="U74" s="12">
        <f t="shared" si="9"/>
        <v>0.12378399999999989</v>
      </c>
    </row>
    <row r="75" spans="1:21" x14ac:dyDescent="0.25">
      <c r="A75" s="12" t="s">
        <v>464</v>
      </c>
      <c r="B75" s="13" t="s">
        <v>152</v>
      </c>
      <c r="C75" s="13" t="s">
        <v>247</v>
      </c>
      <c r="D75" s="12">
        <v>87.5</v>
      </c>
      <c r="E75" s="13" t="s">
        <v>465</v>
      </c>
      <c r="F75" s="13" t="s">
        <v>466</v>
      </c>
      <c r="G75" s="12">
        <v>43739</v>
      </c>
      <c r="H75" s="12">
        <v>946</v>
      </c>
      <c r="I75" s="12">
        <v>2.17</v>
      </c>
      <c r="J75" s="12">
        <v>3.22</v>
      </c>
      <c r="K75" s="12">
        <v>3.5</v>
      </c>
      <c r="L75" s="12">
        <v>9.74</v>
      </c>
      <c r="M75" s="12">
        <v>81.37</v>
      </c>
      <c r="N75" s="12">
        <f t="shared" si="5"/>
        <v>7.3490000000000002</v>
      </c>
      <c r="O75" s="12">
        <v>0.49099999999999999</v>
      </c>
      <c r="P75" s="12">
        <v>0.13800000000000001</v>
      </c>
      <c r="Q75" s="12">
        <v>0.371</v>
      </c>
      <c r="R75" s="12">
        <f t="shared" si="6"/>
        <v>57.856669740000001</v>
      </c>
      <c r="S75" s="12">
        <f t="shared" si="7"/>
        <v>0.36109999999999998</v>
      </c>
      <c r="T75" s="12">
        <f t="shared" si="8"/>
        <v>0.39776599999999995</v>
      </c>
      <c r="U75" s="12">
        <f t="shared" si="9"/>
        <v>0.60223400000000005</v>
      </c>
    </row>
    <row r="76" spans="1:21" x14ac:dyDescent="0.25">
      <c r="A76" s="12" t="s">
        <v>467</v>
      </c>
      <c r="B76" s="13" t="s">
        <v>154</v>
      </c>
      <c r="C76" s="13" t="s">
        <v>247</v>
      </c>
      <c r="D76" s="12">
        <v>90</v>
      </c>
      <c r="E76" s="13" t="s">
        <v>468</v>
      </c>
      <c r="F76" s="13" t="s">
        <v>469</v>
      </c>
      <c r="G76" s="12">
        <v>3623</v>
      </c>
      <c r="H76" s="12">
        <v>210</v>
      </c>
      <c r="I76" s="15">
        <v>2.2999999999999998</v>
      </c>
      <c r="J76" s="12">
        <v>2.2000000000000002</v>
      </c>
      <c r="K76" s="12">
        <v>31.9</v>
      </c>
      <c r="L76" s="12">
        <v>8.39</v>
      </c>
      <c r="M76" s="12">
        <v>44.79</v>
      </c>
      <c r="N76" s="12">
        <f t="shared" si="5"/>
        <v>9.4484999999999992</v>
      </c>
      <c r="O76" s="12">
        <v>0.84799999999999998</v>
      </c>
      <c r="P76" s="12">
        <v>8.0000000000000002E-3</v>
      </c>
      <c r="Q76" s="12">
        <v>0.14399999999999999</v>
      </c>
      <c r="R76" s="12">
        <f t="shared" si="6"/>
        <v>57.359569920000006</v>
      </c>
      <c r="S76" s="12">
        <f t="shared" si="7"/>
        <v>0.45519999999999999</v>
      </c>
      <c r="T76" s="12">
        <f t="shared" si="8"/>
        <v>0.7399039999999999</v>
      </c>
      <c r="U76" s="12">
        <f t="shared" si="9"/>
        <v>0.2600960000000001</v>
      </c>
    </row>
    <row r="77" spans="1:21" x14ac:dyDescent="0.25">
      <c r="A77" s="12" t="s">
        <v>470</v>
      </c>
      <c r="B77" s="13" t="s">
        <v>156</v>
      </c>
      <c r="C77" s="13" t="s">
        <v>247</v>
      </c>
      <c r="D77" s="12">
        <v>92</v>
      </c>
      <c r="E77" s="13" t="s">
        <v>471</v>
      </c>
      <c r="F77" s="13" t="s">
        <v>472</v>
      </c>
      <c r="G77" s="12">
        <v>15882</v>
      </c>
      <c r="H77" s="12">
        <v>687</v>
      </c>
      <c r="I77" s="12">
        <v>2.89</v>
      </c>
      <c r="J77" s="12">
        <v>6.85</v>
      </c>
      <c r="K77" s="12">
        <v>6.74</v>
      </c>
      <c r="L77" s="12">
        <v>27.83</v>
      </c>
      <c r="M77" s="12">
        <v>55.69</v>
      </c>
      <c r="N77" s="12">
        <f t="shared" si="5"/>
        <v>9.5914999999999999</v>
      </c>
      <c r="O77" s="12">
        <v>0.82699999999999996</v>
      </c>
      <c r="P77" s="12">
        <v>4.2999999999999997E-2</v>
      </c>
      <c r="Q77" s="12">
        <v>0.13</v>
      </c>
      <c r="R77" s="12">
        <f t="shared" si="6"/>
        <v>58.69084728</v>
      </c>
      <c r="S77" s="12">
        <f t="shared" si="7"/>
        <v>0.45240000000000002</v>
      </c>
      <c r="T77" s="12">
        <f t="shared" si="8"/>
        <v>0.70267799999999991</v>
      </c>
      <c r="U77" s="12">
        <f t="shared" si="9"/>
        <v>0.29732200000000009</v>
      </c>
    </row>
    <row r="78" spans="1:21" x14ac:dyDescent="0.25">
      <c r="A78" s="12" t="s">
        <v>473</v>
      </c>
      <c r="B78" s="13" t="s">
        <v>158</v>
      </c>
      <c r="C78" s="13" t="s">
        <v>260</v>
      </c>
      <c r="D78" s="12">
        <v>96</v>
      </c>
      <c r="E78" s="13" t="s">
        <v>474</v>
      </c>
      <c r="F78" s="13" t="s">
        <v>475</v>
      </c>
      <c r="G78" s="12">
        <v>34528</v>
      </c>
      <c r="H78" s="12">
        <v>693</v>
      </c>
      <c r="I78" s="12">
        <v>12.11</v>
      </c>
      <c r="J78" s="12">
        <v>3.15</v>
      </c>
      <c r="K78" s="12">
        <v>32.39</v>
      </c>
      <c r="L78" s="12">
        <v>7.04</v>
      </c>
      <c r="M78" s="12">
        <v>45.31</v>
      </c>
      <c r="N78" s="12">
        <f t="shared" si="5"/>
        <v>14.065000000000001</v>
      </c>
      <c r="O78" s="12">
        <v>0.98</v>
      </c>
      <c r="P78" s="12">
        <v>2E-3</v>
      </c>
      <c r="Q78" s="12">
        <v>1.7999999999999999E-2</v>
      </c>
      <c r="R78" s="12">
        <f t="shared" si="6"/>
        <v>51.36082223999999</v>
      </c>
      <c r="S78" s="12">
        <f t="shared" si="7"/>
        <v>0.49419999999999997</v>
      </c>
      <c r="T78" s="12">
        <f t="shared" si="8"/>
        <v>0.96072799999999992</v>
      </c>
      <c r="U78" s="12">
        <f t="shared" si="9"/>
        <v>3.9272000000000085E-2</v>
      </c>
    </row>
    <row r="79" spans="1:21" x14ac:dyDescent="0.25">
      <c r="A79" s="12" t="s">
        <v>476</v>
      </c>
      <c r="B79" s="13" t="s">
        <v>162</v>
      </c>
      <c r="C79" s="13" t="s">
        <v>247</v>
      </c>
      <c r="D79" s="12">
        <v>97</v>
      </c>
      <c r="E79" s="13" t="s">
        <v>477</v>
      </c>
      <c r="F79" s="13" t="s">
        <v>478</v>
      </c>
      <c r="G79" s="12">
        <v>89083</v>
      </c>
      <c r="H79" s="12">
        <v>2152</v>
      </c>
      <c r="I79" s="15">
        <v>1.5</v>
      </c>
      <c r="J79" s="12">
        <v>2.8</v>
      </c>
      <c r="K79" s="12">
        <v>1.17</v>
      </c>
      <c r="L79" s="12">
        <v>6.08</v>
      </c>
      <c r="M79" s="12">
        <v>88.45</v>
      </c>
      <c r="N79" s="12">
        <f t="shared" si="5"/>
        <v>6.5810000000000004</v>
      </c>
      <c r="O79" s="12">
        <v>0.371</v>
      </c>
      <c r="P79" s="12">
        <v>0.10199999999999999</v>
      </c>
      <c r="Q79" s="12">
        <v>0.52700000000000002</v>
      </c>
      <c r="R79" s="12">
        <f t="shared" si="6"/>
        <v>50.611365899999996</v>
      </c>
      <c r="S79" s="12">
        <f t="shared" si="7"/>
        <v>0.32150000000000001</v>
      </c>
      <c r="T79" s="12">
        <f t="shared" si="8"/>
        <v>0.42577399999999999</v>
      </c>
      <c r="U79" s="12">
        <f t="shared" si="9"/>
        <v>0.57422600000000001</v>
      </c>
    </row>
    <row r="80" spans="1:21" x14ac:dyDescent="0.25">
      <c r="A80" s="12" t="s">
        <v>479</v>
      </c>
      <c r="B80" s="13" t="s">
        <v>160</v>
      </c>
      <c r="C80" s="13" t="s">
        <v>247</v>
      </c>
      <c r="D80" s="12">
        <v>97</v>
      </c>
      <c r="E80" s="13" t="s">
        <v>480</v>
      </c>
      <c r="F80" s="13" t="s">
        <v>481</v>
      </c>
      <c r="G80" s="12">
        <v>53247</v>
      </c>
      <c r="H80" s="12">
        <v>8218</v>
      </c>
      <c r="I80" s="12">
        <v>6.51</v>
      </c>
      <c r="J80" s="12">
        <v>12.61</v>
      </c>
      <c r="K80" s="12">
        <v>14.96</v>
      </c>
      <c r="L80" s="12">
        <v>25.32</v>
      </c>
      <c r="M80" s="12">
        <v>40.6</v>
      </c>
      <c r="N80" s="12">
        <f t="shared" si="5"/>
        <v>12.888000000000002</v>
      </c>
      <c r="O80" s="12">
        <v>0.86199999999999999</v>
      </c>
      <c r="P80" s="12">
        <v>4.2999999999999997E-2</v>
      </c>
      <c r="Q80" s="12">
        <v>9.5000000000000001E-2</v>
      </c>
      <c r="R80" s="12">
        <f t="shared" si="6"/>
        <v>57.681135780000012</v>
      </c>
      <c r="S80" s="12">
        <f t="shared" si="7"/>
        <v>0.46290000000000003</v>
      </c>
      <c r="T80" s="12">
        <f t="shared" si="8"/>
        <v>0.75391799999999987</v>
      </c>
      <c r="U80" s="12">
        <f t="shared" si="9"/>
        <v>0.24608200000000013</v>
      </c>
    </row>
    <row r="81" spans="1:21" x14ac:dyDescent="0.25">
      <c r="A81" s="12" t="s">
        <v>482</v>
      </c>
      <c r="B81" s="13" t="s">
        <v>164</v>
      </c>
      <c r="C81" s="13" t="s">
        <v>260</v>
      </c>
      <c r="D81" s="12">
        <v>97</v>
      </c>
      <c r="E81" s="13" t="s">
        <v>483</v>
      </c>
      <c r="F81" s="13" t="s">
        <v>484</v>
      </c>
      <c r="G81" s="12">
        <v>14164</v>
      </c>
      <c r="H81" s="12">
        <v>599</v>
      </c>
      <c r="I81" s="12">
        <v>1.99</v>
      </c>
      <c r="J81" s="12">
        <v>5.41</v>
      </c>
      <c r="K81" s="15">
        <v>3.3</v>
      </c>
      <c r="L81" s="12">
        <v>17.63</v>
      </c>
      <c r="M81" s="12">
        <v>71.67</v>
      </c>
      <c r="N81" s="12">
        <f t="shared" si="5"/>
        <v>8.089500000000001</v>
      </c>
      <c r="O81" s="12">
        <v>0.58299999999999996</v>
      </c>
      <c r="P81" s="12">
        <v>4.5999999999999999E-2</v>
      </c>
      <c r="Q81" s="12">
        <v>0.371</v>
      </c>
      <c r="R81" s="12">
        <f t="shared" si="6"/>
        <v>57.697434299999998</v>
      </c>
      <c r="S81" s="12">
        <f t="shared" si="7"/>
        <v>0.37949999999999995</v>
      </c>
      <c r="T81" s="12">
        <f t="shared" si="8"/>
        <v>0.47964599999999991</v>
      </c>
      <c r="U81" s="12">
        <f t="shared" si="9"/>
        <v>0.52035400000000009</v>
      </c>
    </row>
    <row r="82" spans="1:21" x14ac:dyDescent="0.25">
      <c r="A82" s="12" t="s">
        <v>485</v>
      </c>
      <c r="B82" s="13" t="s">
        <v>166</v>
      </c>
      <c r="C82" s="13" t="s">
        <v>260</v>
      </c>
      <c r="D82" s="12">
        <v>98</v>
      </c>
      <c r="E82" s="13" t="s">
        <v>486</v>
      </c>
      <c r="F82" s="13" t="s">
        <v>487</v>
      </c>
      <c r="G82" s="12">
        <v>18509</v>
      </c>
      <c r="H82" s="12">
        <v>667</v>
      </c>
      <c r="I82" s="12">
        <v>1.68</v>
      </c>
      <c r="J82" s="12">
        <v>5.05</v>
      </c>
      <c r="K82" s="12">
        <v>4.49</v>
      </c>
      <c r="L82" s="12">
        <v>7.07</v>
      </c>
      <c r="M82" s="12">
        <v>81.709999999999994</v>
      </c>
      <c r="N82" s="12">
        <f t="shared" si="5"/>
        <v>7.4844999999999997</v>
      </c>
      <c r="O82" s="12">
        <v>0.52900000000000003</v>
      </c>
      <c r="P82" s="12">
        <v>0.05</v>
      </c>
      <c r="Q82" s="12">
        <v>0.42099999999999999</v>
      </c>
      <c r="R82" s="12">
        <f t="shared" si="6"/>
        <v>56.025002659999998</v>
      </c>
      <c r="S82" s="12">
        <f t="shared" si="7"/>
        <v>0.36370000000000002</v>
      </c>
      <c r="T82" s="12">
        <f t="shared" si="8"/>
        <v>0.45958199999999999</v>
      </c>
      <c r="U82" s="12">
        <f t="shared" si="9"/>
        <v>0.54041800000000006</v>
      </c>
    </row>
    <row r="83" spans="1:21" x14ac:dyDescent="0.25">
      <c r="A83" s="12" t="s">
        <v>488</v>
      </c>
      <c r="B83" s="13" t="s">
        <v>168</v>
      </c>
      <c r="C83" s="13" t="s">
        <v>260</v>
      </c>
      <c r="D83" s="12">
        <v>99</v>
      </c>
      <c r="E83" s="13" t="s">
        <v>489</v>
      </c>
      <c r="F83" s="13" t="s">
        <v>490</v>
      </c>
      <c r="G83" s="12">
        <v>11480</v>
      </c>
      <c r="H83" s="12">
        <v>845</v>
      </c>
      <c r="I83" s="12">
        <v>3.95</v>
      </c>
      <c r="J83" s="12">
        <v>5.22</v>
      </c>
      <c r="K83" s="12">
        <v>2.83</v>
      </c>
      <c r="L83" s="12">
        <v>22.65</v>
      </c>
      <c r="M83" s="12">
        <v>65.349999999999994</v>
      </c>
      <c r="N83" s="12">
        <f t="shared" si="5"/>
        <v>9.0395000000000003</v>
      </c>
      <c r="O83" s="12">
        <v>0.80800000000000005</v>
      </c>
      <c r="P83" s="12">
        <v>0.01</v>
      </c>
      <c r="Q83" s="12">
        <v>0.182</v>
      </c>
      <c r="R83" s="12">
        <f t="shared" si="6"/>
        <v>58.258858079999989</v>
      </c>
      <c r="S83" s="12">
        <f t="shared" si="7"/>
        <v>0.44340000000000002</v>
      </c>
      <c r="T83" s="12">
        <f t="shared" si="8"/>
        <v>0.68608800000000014</v>
      </c>
      <c r="U83" s="12">
        <f t="shared" si="9"/>
        <v>0.31391199999999986</v>
      </c>
    </row>
    <row r="84" spans="1:21" x14ac:dyDescent="0.25">
      <c r="A84" s="12" t="s">
        <v>491</v>
      </c>
      <c r="B84" s="13" t="s">
        <v>170</v>
      </c>
      <c r="C84" s="13" t="s">
        <v>247</v>
      </c>
      <c r="D84" s="12">
        <v>99.5</v>
      </c>
      <c r="E84" s="13" t="s">
        <v>492</v>
      </c>
      <c r="F84" s="13" t="s">
        <v>493</v>
      </c>
      <c r="G84" s="12">
        <v>64964</v>
      </c>
      <c r="H84" s="12">
        <v>932</v>
      </c>
      <c r="I84" s="12">
        <v>6.17</v>
      </c>
      <c r="J84" s="12">
        <v>2.5</v>
      </c>
      <c r="K84" s="12">
        <v>14.83</v>
      </c>
      <c r="L84" s="12">
        <v>7.87</v>
      </c>
      <c r="M84" s="12">
        <v>68.63</v>
      </c>
      <c r="N84" s="12">
        <f t="shared" si="5"/>
        <v>9.8445</v>
      </c>
      <c r="O84" s="12">
        <v>0.80600000000000005</v>
      </c>
      <c r="P84" s="12">
        <v>1.7999999999999999E-2</v>
      </c>
      <c r="Q84" s="12">
        <v>0.17599999999999999</v>
      </c>
      <c r="R84" s="12">
        <f t="shared" si="6"/>
        <v>58.513679040000014</v>
      </c>
      <c r="S84" s="12">
        <f t="shared" si="7"/>
        <v>0.44360000000000005</v>
      </c>
      <c r="T84" s="12">
        <f t="shared" si="8"/>
        <v>0.6809360000000001</v>
      </c>
      <c r="U84" s="12">
        <f t="shared" si="9"/>
        <v>0.3190639999999999</v>
      </c>
    </row>
    <row r="85" spans="1:21" x14ac:dyDescent="0.25">
      <c r="A85" s="12" t="s">
        <v>494</v>
      </c>
      <c r="B85" s="13" t="s">
        <v>172</v>
      </c>
      <c r="C85" s="13" t="s">
        <v>247</v>
      </c>
      <c r="D85" s="12">
        <v>100</v>
      </c>
      <c r="E85" s="13" t="s">
        <v>495</v>
      </c>
      <c r="F85" s="13" t="s">
        <v>496</v>
      </c>
      <c r="G85" s="12">
        <v>135463</v>
      </c>
      <c r="H85" s="12">
        <v>2160</v>
      </c>
      <c r="I85" s="12">
        <v>1.1399999999999999</v>
      </c>
      <c r="J85" s="12">
        <v>4.9400000000000004</v>
      </c>
      <c r="K85" s="12">
        <v>23.06</v>
      </c>
      <c r="L85" s="12">
        <v>14.1</v>
      </c>
      <c r="M85" s="12">
        <v>56.76</v>
      </c>
      <c r="N85" s="12">
        <f t="shared" si="5"/>
        <v>9.4550000000000001</v>
      </c>
      <c r="O85" s="12">
        <v>0.60599999999999998</v>
      </c>
      <c r="P85" s="12">
        <v>5.1999999999999998E-2</v>
      </c>
      <c r="Q85" s="12">
        <v>0.34200000000000003</v>
      </c>
      <c r="R85" s="12">
        <f t="shared" si="6"/>
        <v>58.556815200000003</v>
      </c>
      <c r="S85" s="12">
        <f t="shared" si="7"/>
        <v>0.38700000000000001</v>
      </c>
      <c r="T85" s="12">
        <f t="shared" si="8"/>
        <v>0.486904</v>
      </c>
      <c r="U85" s="12">
        <f t="shared" si="9"/>
        <v>0.513096</v>
      </c>
    </row>
    <row r="86" spans="1:21" x14ac:dyDescent="0.25">
      <c r="A86" s="12" t="s">
        <v>497</v>
      </c>
      <c r="B86" s="13" t="s">
        <v>174</v>
      </c>
      <c r="C86" s="13" t="s">
        <v>247</v>
      </c>
      <c r="D86" s="12">
        <v>100</v>
      </c>
      <c r="E86" s="13" t="s">
        <v>498</v>
      </c>
      <c r="F86" s="13" t="s">
        <v>499</v>
      </c>
      <c r="G86" s="12">
        <v>34181</v>
      </c>
      <c r="H86" s="12">
        <v>7194</v>
      </c>
      <c r="I86" s="12">
        <v>4.1399999999999997</v>
      </c>
      <c r="J86" s="12">
        <v>14.29</v>
      </c>
      <c r="K86" s="12">
        <v>7.42</v>
      </c>
      <c r="L86" s="12">
        <v>33.67</v>
      </c>
      <c r="M86" s="12">
        <v>40.479999999999997</v>
      </c>
      <c r="N86" s="12">
        <f t="shared" si="5"/>
        <v>11.939499999999999</v>
      </c>
      <c r="O86" s="12">
        <v>0.82099999999999995</v>
      </c>
      <c r="P86" s="12">
        <v>6.3E-2</v>
      </c>
      <c r="Q86" s="12">
        <v>0.11600000000000001</v>
      </c>
      <c r="R86" s="12">
        <f t="shared" si="6"/>
        <v>59.224248840000001</v>
      </c>
      <c r="S86" s="12">
        <f t="shared" si="7"/>
        <v>0.4526</v>
      </c>
      <c r="T86" s="12">
        <f t="shared" si="8"/>
        <v>0.69146599999999991</v>
      </c>
      <c r="U86" s="12">
        <f t="shared" si="9"/>
        <v>0.30853400000000009</v>
      </c>
    </row>
    <row r="87" spans="1:21" x14ac:dyDescent="0.25">
      <c r="A87" s="12" t="s">
        <v>500</v>
      </c>
      <c r="B87" s="13" t="s">
        <v>176</v>
      </c>
      <c r="C87" s="13" t="s">
        <v>247</v>
      </c>
      <c r="D87" s="12">
        <v>101</v>
      </c>
      <c r="E87" s="13" t="s">
        <v>501</v>
      </c>
      <c r="F87" s="13" t="s">
        <v>502</v>
      </c>
      <c r="G87" s="12">
        <v>5062</v>
      </c>
      <c r="H87" s="12">
        <v>529</v>
      </c>
      <c r="I87" s="12">
        <v>3.63</v>
      </c>
      <c r="J87" s="12">
        <v>3.43</v>
      </c>
      <c r="K87" s="12">
        <v>10.53</v>
      </c>
      <c r="L87" s="12">
        <v>37.97</v>
      </c>
      <c r="M87" s="12">
        <v>44.44</v>
      </c>
      <c r="N87" s="12">
        <f t="shared" si="5"/>
        <v>10.089499999999999</v>
      </c>
      <c r="O87" s="12">
        <v>0.871</v>
      </c>
      <c r="P87" s="12">
        <v>1.4E-2</v>
      </c>
      <c r="Q87" s="12">
        <v>0.115</v>
      </c>
      <c r="R87" s="12">
        <f t="shared" si="6"/>
        <v>56.816691259999999</v>
      </c>
      <c r="S87" s="12">
        <f t="shared" si="7"/>
        <v>0.4627</v>
      </c>
      <c r="T87" s="12">
        <f t="shared" si="8"/>
        <v>0.77206200000000003</v>
      </c>
      <c r="U87" s="12">
        <f t="shared" si="9"/>
        <v>0.22793799999999997</v>
      </c>
    </row>
    <row r="88" spans="1:21" x14ac:dyDescent="0.25">
      <c r="A88" s="12" t="s">
        <v>503</v>
      </c>
      <c r="B88" s="13" t="s">
        <v>178</v>
      </c>
      <c r="C88" s="13" t="s">
        <v>247</v>
      </c>
      <c r="D88" s="12">
        <v>102.5</v>
      </c>
      <c r="E88" s="13" t="s">
        <v>504</v>
      </c>
      <c r="F88" s="13" t="s">
        <v>505</v>
      </c>
      <c r="G88" s="12">
        <v>4741</v>
      </c>
      <c r="H88" s="12">
        <v>364</v>
      </c>
      <c r="I88" s="12">
        <v>6.86</v>
      </c>
      <c r="J88" s="12">
        <v>4.96</v>
      </c>
      <c r="K88" s="12">
        <v>12.44</v>
      </c>
      <c r="L88" s="12">
        <v>11.68</v>
      </c>
      <c r="M88" s="12">
        <v>64.06</v>
      </c>
      <c r="N88" s="12">
        <f t="shared" si="5"/>
        <v>10.564</v>
      </c>
      <c r="O88" s="12">
        <v>0.65700000000000003</v>
      </c>
      <c r="P88" s="12">
        <v>3.0000000000000001E-3</v>
      </c>
      <c r="Q88" s="12">
        <v>0.313</v>
      </c>
      <c r="R88" s="12">
        <f t="shared" si="6"/>
        <v>57.638621599999993</v>
      </c>
      <c r="S88" s="12">
        <f t="shared" si="7"/>
        <v>0.39200000000000002</v>
      </c>
      <c r="T88" s="12">
        <f t="shared" si="8"/>
        <v>0.52962700000000007</v>
      </c>
      <c r="U88" s="12">
        <f t="shared" si="9"/>
        <v>0.47037299999999993</v>
      </c>
    </row>
    <row r="89" spans="1:21" x14ac:dyDescent="0.25">
      <c r="A89" s="12" t="s">
        <v>506</v>
      </c>
      <c r="B89" s="13" t="s">
        <v>180</v>
      </c>
      <c r="C89" s="13" t="s">
        <v>247</v>
      </c>
      <c r="D89" s="12">
        <v>104</v>
      </c>
      <c r="E89" s="13" t="s">
        <v>507</v>
      </c>
      <c r="F89" s="13" t="s">
        <v>508</v>
      </c>
      <c r="G89" s="12">
        <v>2365</v>
      </c>
      <c r="H89" s="12">
        <v>434</v>
      </c>
      <c r="I89" s="12">
        <v>4.0599999999999996</v>
      </c>
      <c r="J89" s="12">
        <v>1.61</v>
      </c>
      <c r="K89" s="12">
        <v>16.03</v>
      </c>
      <c r="L89" s="12">
        <v>40.130000000000003</v>
      </c>
      <c r="M89" s="12">
        <v>38.17</v>
      </c>
      <c r="N89" s="12">
        <f t="shared" si="5"/>
        <v>10.555500000000002</v>
      </c>
      <c r="O89" s="12">
        <v>0.93700000000000006</v>
      </c>
      <c r="P89" s="12">
        <v>5.0000000000000001E-3</v>
      </c>
      <c r="Q89" s="12">
        <v>5.8000000000000003E-2</v>
      </c>
      <c r="R89" s="12">
        <f t="shared" si="6"/>
        <v>53.873798719999996</v>
      </c>
      <c r="S89" s="12">
        <f t="shared" si="7"/>
        <v>0.48160000000000003</v>
      </c>
      <c r="T89" s="12">
        <f t="shared" si="8"/>
        <v>0.8813580000000002</v>
      </c>
      <c r="U89" s="12">
        <f t="shared" si="9"/>
        <v>0.1186419999999998</v>
      </c>
    </row>
    <row r="90" spans="1:21" x14ac:dyDescent="0.25">
      <c r="A90" s="12" t="s">
        <v>509</v>
      </c>
      <c r="B90" s="13" t="s">
        <v>182</v>
      </c>
      <c r="C90" s="13" t="s">
        <v>247</v>
      </c>
      <c r="D90" s="12">
        <v>105</v>
      </c>
      <c r="E90" s="13" t="s">
        <v>510</v>
      </c>
      <c r="F90" s="13" t="s">
        <v>511</v>
      </c>
      <c r="G90" s="12">
        <v>31372</v>
      </c>
      <c r="H90" s="12">
        <v>7197</v>
      </c>
      <c r="I90" s="12">
        <v>4.1900000000000004</v>
      </c>
      <c r="J90" s="12">
        <v>15.82</v>
      </c>
      <c r="K90" s="12">
        <v>5.33</v>
      </c>
      <c r="L90" s="12">
        <v>34.549999999999997</v>
      </c>
      <c r="M90" s="12">
        <v>40.11</v>
      </c>
      <c r="N90" s="12">
        <f t="shared" si="5"/>
        <v>12.1005</v>
      </c>
      <c r="O90" s="12">
        <v>0.80500000000000005</v>
      </c>
      <c r="P90" s="12">
        <v>6.9000000000000006E-2</v>
      </c>
      <c r="Q90" s="12">
        <v>0.126</v>
      </c>
      <c r="R90" s="12">
        <f t="shared" si="6"/>
        <v>59.697195919999999</v>
      </c>
      <c r="S90" s="12">
        <f t="shared" si="7"/>
        <v>0.44840000000000002</v>
      </c>
      <c r="T90" s="12">
        <f t="shared" si="8"/>
        <v>0.66866200000000009</v>
      </c>
      <c r="U90" s="12">
        <f t="shared" si="9"/>
        <v>0.33133799999999991</v>
      </c>
    </row>
    <row r="91" spans="1:21" x14ac:dyDescent="0.25">
      <c r="A91" s="12" t="s">
        <v>512</v>
      </c>
      <c r="B91" s="13" t="s">
        <v>184</v>
      </c>
      <c r="C91" s="13" t="s">
        <v>247</v>
      </c>
      <c r="D91" s="12">
        <v>107</v>
      </c>
      <c r="E91" s="13" t="s">
        <v>513</v>
      </c>
      <c r="F91" s="13" t="s">
        <v>514</v>
      </c>
      <c r="G91" s="12">
        <v>7091</v>
      </c>
      <c r="H91" s="12">
        <v>488</v>
      </c>
      <c r="I91" s="12">
        <v>3.58</v>
      </c>
      <c r="J91" s="15">
        <v>2.9</v>
      </c>
      <c r="K91" s="15">
        <v>10.1</v>
      </c>
      <c r="L91" s="12">
        <v>25.26</v>
      </c>
      <c r="M91" s="12">
        <v>58.16</v>
      </c>
      <c r="N91" s="12">
        <f t="shared" si="5"/>
        <v>9.2850000000000001</v>
      </c>
      <c r="O91" s="12">
        <v>0.81499999999999995</v>
      </c>
      <c r="P91" s="12">
        <v>7.8E-2</v>
      </c>
      <c r="Q91" s="12">
        <v>0.107</v>
      </c>
      <c r="R91" s="12">
        <f t="shared" si="6"/>
        <v>59.624085659999992</v>
      </c>
      <c r="S91" s="12">
        <f t="shared" si="7"/>
        <v>0.45229999999999992</v>
      </c>
      <c r="T91" s="12">
        <f t="shared" si="8"/>
        <v>0.68175799999999998</v>
      </c>
      <c r="U91" s="12">
        <f t="shared" si="9"/>
        <v>0.31824200000000002</v>
      </c>
    </row>
    <row r="92" spans="1:21" x14ac:dyDescent="0.25">
      <c r="A92" s="12" t="s">
        <v>515</v>
      </c>
      <c r="B92" s="13" t="s">
        <v>186</v>
      </c>
      <c r="C92" s="13" t="s">
        <v>260</v>
      </c>
      <c r="D92" s="12">
        <v>107.5</v>
      </c>
      <c r="E92" s="13" t="s">
        <v>516</v>
      </c>
      <c r="F92" s="13" t="s">
        <v>517</v>
      </c>
      <c r="G92" s="12">
        <v>17490</v>
      </c>
      <c r="H92" s="12">
        <v>953</v>
      </c>
      <c r="I92" s="15">
        <v>3.1</v>
      </c>
      <c r="J92" s="15">
        <v>5.0999999999999996</v>
      </c>
      <c r="K92" s="12">
        <v>6.62</v>
      </c>
      <c r="L92" s="12">
        <v>19.61</v>
      </c>
      <c r="M92" s="12">
        <v>65.77</v>
      </c>
      <c r="N92" s="12">
        <f t="shared" si="5"/>
        <v>8.9124999999999996</v>
      </c>
      <c r="O92" s="12">
        <v>0.752</v>
      </c>
      <c r="P92" s="12">
        <v>2.3E-2</v>
      </c>
      <c r="Q92" s="12">
        <v>0.22500000000000001</v>
      </c>
      <c r="R92" s="12">
        <f t="shared" si="6"/>
        <v>59.193204179999995</v>
      </c>
      <c r="S92" s="12">
        <f t="shared" si="7"/>
        <v>0.4279</v>
      </c>
      <c r="T92" s="12">
        <f t="shared" si="8"/>
        <v>0.61665800000000004</v>
      </c>
      <c r="U92" s="12">
        <f t="shared" si="9"/>
        <v>0.38334199999999996</v>
      </c>
    </row>
    <row r="93" spans="1:21" x14ac:dyDescent="0.25">
      <c r="A93" s="12" t="s">
        <v>518</v>
      </c>
      <c r="B93" s="13" t="s">
        <v>188</v>
      </c>
      <c r="C93" s="13" t="s">
        <v>247</v>
      </c>
      <c r="D93" s="12">
        <v>108</v>
      </c>
      <c r="E93" s="13" t="s">
        <v>519</v>
      </c>
      <c r="F93" s="13" t="s">
        <v>520</v>
      </c>
      <c r="G93" s="12">
        <v>11375</v>
      </c>
      <c r="H93" s="12">
        <v>1237</v>
      </c>
      <c r="I93" s="12">
        <v>2.21</v>
      </c>
      <c r="J93" s="12">
        <v>3.97</v>
      </c>
      <c r="K93" s="12">
        <v>3.57</v>
      </c>
      <c r="L93" s="12">
        <v>28.62</v>
      </c>
      <c r="M93" s="12">
        <v>61.63</v>
      </c>
      <c r="N93" s="12">
        <f t="shared" si="5"/>
        <v>8.4660000000000011</v>
      </c>
      <c r="O93" s="12">
        <v>0.79900000000000004</v>
      </c>
      <c r="P93" s="12">
        <v>1.2999999999999999E-2</v>
      </c>
      <c r="Q93" s="12">
        <v>0.188</v>
      </c>
      <c r="R93" s="12">
        <f t="shared" si="6"/>
        <v>58.480392599999995</v>
      </c>
      <c r="S93" s="12">
        <f t="shared" si="7"/>
        <v>0.44100000000000006</v>
      </c>
      <c r="T93" s="12">
        <f t="shared" si="8"/>
        <v>0.67391400000000012</v>
      </c>
      <c r="U93" s="12">
        <f t="shared" si="9"/>
        <v>0.32608599999999988</v>
      </c>
    </row>
    <row r="94" spans="1:21" x14ac:dyDescent="0.25">
      <c r="A94" s="12" t="s">
        <v>521</v>
      </c>
      <c r="B94" s="13" t="s">
        <v>190</v>
      </c>
      <c r="C94" s="13" t="s">
        <v>260</v>
      </c>
      <c r="D94" s="12">
        <v>108.5</v>
      </c>
      <c r="E94" s="13" t="s">
        <v>522</v>
      </c>
      <c r="F94" s="13" t="s">
        <v>523</v>
      </c>
      <c r="G94" s="12">
        <v>367046</v>
      </c>
      <c r="H94" s="12">
        <v>3384</v>
      </c>
      <c r="I94" s="12">
        <v>0.1</v>
      </c>
      <c r="J94" s="12">
        <v>0.41</v>
      </c>
      <c r="K94" s="12">
        <v>16.95</v>
      </c>
      <c r="L94" s="12">
        <v>6.54</v>
      </c>
      <c r="M94" s="12">
        <v>76</v>
      </c>
      <c r="N94" s="12">
        <f t="shared" si="5"/>
        <v>7.1440000000000001</v>
      </c>
      <c r="O94" s="12">
        <v>0.30099999999999999</v>
      </c>
      <c r="P94" s="12">
        <v>5.1999999999999998E-2</v>
      </c>
      <c r="Q94" s="12">
        <v>0.64700000000000002</v>
      </c>
      <c r="R94" s="12">
        <f t="shared" si="6"/>
        <v>43.972941299999995</v>
      </c>
      <c r="S94" s="12">
        <f t="shared" si="7"/>
        <v>0.29549999999999998</v>
      </c>
      <c r="T94" s="12">
        <f t="shared" si="8"/>
        <v>0.51191399999999998</v>
      </c>
      <c r="U94" s="12">
        <f t="shared" si="9"/>
        <v>0.48808600000000002</v>
      </c>
    </row>
    <row r="95" spans="1:21" x14ac:dyDescent="0.25">
      <c r="A95" s="12" t="s">
        <v>524</v>
      </c>
      <c r="B95" s="13" t="s">
        <v>192</v>
      </c>
      <c r="C95" s="13" t="s">
        <v>247</v>
      </c>
      <c r="D95" s="12">
        <v>111</v>
      </c>
      <c r="E95" s="13" t="s">
        <v>525</v>
      </c>
      <c r="F95" s="13" t="s">
        <v>526</v>
      </c>
      <c r="G95" s="12">
        <v>18079</v>
      </c>
      <c r="H95" s="12">
        <v>587</v>
      </c>
      <c r="I95" s="12">
        <v>3.51</v>
      </c>
      <c r="J95" s="12">
        <v>3.41</v>
      </c>
      <c r="K95" s="12">
        <v>4.04</v>
      </c>
      <c r="L95" s="12">
        <v>19.329999999999998</v>
      </c>
      <c r="M95" s="12">
        <v>69.709999999999994</v>
      </c>
      <c r="N95" s="12">
        <f t="shared" si="5"/>
        <v>8.4565000000000001</v>
      </c>
      <c r="O95" s="12">
        <v>0.60199999999999998</v>
      </c>
      <c r="P95" s="12">
        <v>2.5000000000000001E-2</v>
      </c>
      <c r="Q95" s="12">
        <v>0.373</v>
      </c>
      <c r="R95" s="12">
        <f t="shared" si="6"/>
        <v>57.382327019999998</v>
      </c>
      <c r="S95" s="12">
        <f t="shared" si="7"/>
        <v>0.3831</v>
      </c>
      <c r="T95" s="12">
        <f t="shared" si="8"/>
        <v>0.50215799999999988</v>
      </c>
      <c r="U95" s="12">
        <f t="shared" si="9"/>
        <v>0.49784200000000012</v>
      </c>
    </row>
    <row r="96" spans="1:21" x14ac:dyDescent="0.25">
      <c r="A96" s="12" t="s">
        <v>527</v>
      </c>
      <c r="B96" s="13" t="s">
        <v>194</v>
      </c>
      <c r="C96" s="13" t="s">
        <v>247</v>
      </c>
      <c r="D96" s="12">
        <v>112</v>
      </c>
      <c r="E96" s="13" t="s">
        <v>528</v>
      </c>
      <c r="F96" s="13" t="s">
        <v>529</v>
      </c>
      <c r="G96" s="12">
        <v>7373</v>
      </c>
      <c r="H96" s="12">
        <v>466</v>
      </c>
      <c r="I96" s="12">
        <v>0.98</v>
      </c>
      <c r="J96" s="12">
        <v>3.08</v>
      </c>
      <c r="K96" s="12">
        <v>5.52</v>
      </c>
      <c r="L96" s="12">
        <v>13.54</v>
      </c>
      <c r="M96" s="12">
        <v>76.900000000000006</v>
      </c>
      <c r="N96" s="12">
        <f t="shared" si="5"/>
        <v>7.2380000000000013</v>
      </c>
      <c r="O96" s="12">
        <v>0.51500000000000001</v>
      </c>
      <c r="P96" s="12">
        <v>1.9E-2</v>
      </c>
      <c r="Q96" s="12">
        <v>0.46600000000000003</v>
      </c>
      <c r="R96" s="12">
        <f t="shared" si="6"/>
        <v>54.075075119999994</v>
      </c>
      <c r="S96" s="12">
        <f t="shared" si="7"/>
        <v>0.35639999999999999</v>
      </c>
      <c r="T96" s="12">
        <f t="shared" si="8"/>
        <v>0.482742</v>
      </c>
      <c r="U96" s="12">
        <f t="shared" si="9"/>
        <v>0.517258</v>
      </c>
    </row>
    <row r="97" spans="1:21" x14ac:dyDescent="0.25">
      <c r="A97" s="12" t="s">
        <v>530</v>
      </c>
      <c r="B97" s="13" t="s">
        <v>198</v>
      </c>
      <c r="C97" s="13" t="s">
        <v>247</v>
      </c>
      <c r="D97" s="12">
        <v>113.5</v>
      </c>
      <c r="E97" s="13" t="s">
        <v>531</v>
      </c>
      <c r="F97" s="13" t="s">
        <v>532</v>
      </c>
      <c r="G97" s="12">
        <v>144339</v>
      </c>
      <c r="H97" s="12">
        <v>2176</v>
      </c>
      <c r="I97" s="12">
        <v>1.84</v>
      </c>
      <c r="J97" s="12">
        <v>7.97</v>
      </c>
      <c r="K97" s="12">
        <v>0.86</v>
      </c>
      <c r="L97" s="12">
        <v>19.97</v>
      </c>
      <c r="M97" s="12">
        <v>69.36</v>
      </c>
      <c r="N97" s="12">
        <f t="shared" si="5"/>
        <v>8.4145000000000003</v>
      </c>
      <c r="O97" s="12">
        <v>0.64300000000000002</v>
      </c>
      <c r="P97" s="12">
        <v>0.04</v>
      </c>
      <c r="Q97" s="12">
        <v>0.317</v>
      </c>
      <c r="R97" s="12">
        <f t="shared" si="6"/>
        <v>58.918296779999999</v>
      </c>
      <c r="S97" s="12">
        <f t="shared" si="7"/>
        <v>0.39690000000000003</v>
      </c>
      <c r="T97" s="12">
        <f t="shared" si="8"/>
        <v>0.51553800000000005</v>
      </c>
      <c r="U97" s="12">
        <f t="shared" si="9"/>
        <v>0.48446199999999995</v>
      </c>
    </row>
    <row r="98" spans="1:21" x14ac:dyDescent="0.25">
      <c r="A98" s="12" t="s">
        <v>533</v>
      </c>
      <c r="B98" s="13" t="s">
        <v>200</v>
      </c>
      <c r="C98" s="13" t="s">
        <v>247</v>
      </c>
      <c r="D98" s="12">
        <v>113.5</v>
      </c>
      <c r="E98" s="13" t="s">
        <v>534</v>
      </c>
      <c r="F98" s="13" t="s">
        <v>535</v>
      </c>
      <c r="G98" s="12">
        <v>231992</v>
      </c>
      <c r="H98" s="12">
        <v>4311</v>
      </c>
      <c r="I98" s="12">
        <v>1.36</v>
      </c>
      <c r="J98" s="12">
        <v>2.36</v>
      </c>
      <c r="K98" s="12">
        <v>9.89</v>
      </c>
      <c r="L98" s="15">
        <v>11.2</v>
      </c>
      <c r="M98" s="12">
        <v>75.19</v>
      </c>
      <c r="N98" s="12">
        <f t="shared" si="5"/>
        <v>7.5650000000000004</v>
      </c>
      <c r="O98" s="12">
        <v>0.58399999999999996</v>
      </c>
      <c r="P98" s="12">
        <v>9.2999999999999999E-2</v>
      </c>
      <c r="Q98" s="12">
        <v>0.32300000000000001</v>
      </c>
      <c r="R98" s="12">
        <f t="shared" si="6"/>
        <v>59.442392699999992</v>
      </c>
      <c r="S98" s="12">
        <f t="shared" si="7"/>
        <v>0.38449999999999995</v>
      </c>
      <c r="T98" s="12">
        <f t="shared" si="8"/>
        <v>0.45403399999999999</v>
      </c>
      <c r="U98" s="12">
        <f t="shared" si="9"/>
        <v>0.54596599999999995</v>
      </c>
    </row>
    <row r="99" spans="1:21" x14ac:dyDescent="0.25">
      <c r="A99" s="12" t="s">
        <v>536</v>
      </c>
      <c r="B99" s="13" t="s">
        <v>196</v>
      </c>
      <c r="C99" s="13" t="s">
        <v>247</v>
      </c>
      <c r="D99" s="12">
        <v>113.5</v>
      </c>
      <c r="E99" s="13" t="s">
        <v>537</v>
      </c>
      <c r="F99" s="13" t="s">
        <v>538</v>
      </c>
      <c r="G99" s="12">
        <v>61832</v>
      </c>
      <c r="H99" s="12">
        <v>1388</v>
      </c>
      <c r="I99" s="12">
        <v>2.4</v>
      </c>
      <c r="J99" s="12">
        <v>6.24</v>
      </c>
      <c r="K99" s="15">
        <v>1.3</v>
      </c>
      <c r="L99" s="12">
        <v>11.95</v>
      </c>
      <c r="M99" s="12">
        <v>78.11</v>
      </c>
      <c r="N99" s="12">
        <f t="shared" si="5"/>
        <v>7.9355000000000002</v>
      </c>
      <c r="O99" s="12">
        <v>0.437</v>
      </c>
      <c r="P99" s="12">
        <v>0.33200000000000002</v>
      </c>
      <c r="Q99" s="12">
        <v>0.23100000000000001</v>
      </c>
      <c r="R99" s="12">
        <f t="shared" si="6"/>
        <v>59.943597780000005</v>
      </c>
      <c r="S99" s="12">
        <f t="shared" si="7"/>
        <v>0.36430000000000001</v>
      </c>
      <c r="T99" s="12">
        <f t="shared" si="8"/>
        <v>0.35455400000000004</v>
      </c>
      <c r="U99" s="12">
        <f t="shared" si="9"/>
        <v>0.64544599999999996</v>
      </c>
    </row>
    <row r="100" spans="1:21" x14ac:dyDescent="0.25">
      <c r="A100" s="12" t="s">
        <v>539</v>
      </c>
      <c r="B100" s="13" t="s">
        <v>202</v>
      </c>
      <c r="C100" s="13" t="s">
        <v>247</v>
      </c>
      <c r="D100" s="12">
        <v>114</v>
      </c>
      <c r="E100" s="13" t="s">
        <v>540</v>
      </c>
      <c r="F100" s="13" t="s">
        <v>541</v>
      </c>
      <c r="G100" s="12">
        <v>47370</v>
      </c>
      <c r="H100" s="12">
        <v>1634</v>
      </c>
      <c r="I100" s="12">
        <v>2.3199999999999998</v>
      </c>
      <c r="J100" s="12">
        <v>5.68</v>
      </c>
      <c r="K100" s="12">
        <v>0.96</v>
      </c>
      <c r="L100" s="12">
        <v>16.91</v>
      </c>
      <c r="M100" s="12">
        <v>74.13</v>
      </c>
      <c r="N100" s="12">
        <f t="shared" si="5"/>
        <v>8.0055000000000014</v>
      </c>
      <c r="O100" s="12">
        <v>0.57999999999999996</v>
      </c>
      <c r="P100" s="12">
        <v>0.154</v>
      </c>
      <c r="Q100" s="12">
        <v>0.26600000000000001</v>
      </c>
      <c r="R100" s="12">
        <f t="shared" si="6"/>
        <v>61.101844320000012</v>
      </c>
      <c r="S100" s="12">
        <f t="shared" si="7"/>
        <v>0.38940000000000002</v>
      </c>
      <c r="T100" s="12">
        <f t="shared" si="8"/>
        <v>0.43087200000000003</v>
      </c>
      <c r="U100" s="12">
        <f t="shared" si="9"/>
        <v>0.56912799999999997</v>
      </c>
    </row>
    <row r="101" spans="1:21" x14ac:dyDescent="0.25">
      <c r="A101" s="12" t="s">
        <v>542</v>
      </c>
      <c r="B101" s="13" t="s">
        <v>206</v>
      </c>
      <c r="C101" s="13" t="s">
        <v>260</v>
      </c>
      <c r="D101" s="12">
        <v>115.5</v>
      </c>
      <c r="E101" s="13" t="s">
        <v>543</v>
      </c>
      <c r="F101" s="13" t="s">
        <v>544</v>
      </c>
      <c r="G101" s="12">
        <v>3697</v>
      </c>
      <c r="H101" s="12">
        <v>514</v>
      </c>
      <c r="I101" s="12">
        <v>4.79</v>
      </c>
      <c r="J101" s="12">
        <v>5.46</v>
      </c>
      <c r="K101" s="15">
        <v>8</v>
      </c>
      <c r="L101" s="12">
        <v>30.78</v>
      </c>
      <c r="M101" s="12">
        <v>50.97</v>
      </c>
      <c r="N101" s="12">
        <f t="shared" si="5"/>
        <v>10.347000000000001</v>
      </c>
      <c r="O101" s="12">
        <v>0.91300000000000003</v>
      </c>
      <c r="P101" s="12">
        <v>6.0000000000000001E-3</v>
      </c>
      <c r="Q101" s="12">
        <v>8.1000000000000003E-2</v>
      </c>
      <c r="R101" s="12">
        <f t="shared" si="6"/>
        <v>55.03412329999999</v>
      </c>
      <c r="S101" s="12">
        <f t="shared" si="7"/>
        <v>0.47450000000000003</v>
      </c>
      <c r="T101" s="12">
        <f t="shared" si="8"/>
        <v>0.84016600000000019</v>
      </c>
      <c r="U101" s="12">
        <f t="shared" si="9"/>
        <v>0.15983399999999981</v>
      </c>
    </row>
    <row r="102" spans="1:21" x14ac:dyDescent="0.25">
      <c r="A102" s="12" t="s">
        <v>545</v>
      </c>
      <c r="B102" s="13" t="s">
        <v>204</v>
      </c>
      <c r="C102" s="13" t="s">
        <v>247</v>
      </c>
      <c r="D102" s="12">
        <v>115.5</v>
      </c>
      <c r="E102" s="13" t="s">
        <v>546</v>
      </c>
      <c r="F102" s="13" t="s">
        <v>547</v>
      </c>
      <c r="G102" s="12">
        <v>18324</v>
      </c>
      <c r="H102" s="12">
        <v>588</v>
      </c>
      <c r="I102" s="12">
        <v>2.85</v>
      </c>
      <c r="J102" s="12">
        <v>4.0599999999999996</v>
      </c>
      <c r="K102" s="12">
        <v>10.09</v>
      </c>
      <c r="L102" s="12">
        <v>25.78</v>
      </c>
      <c r="M102" s="12">
        <v>57.22</v>
      </c>
      <c r="N102" s="12">
        <f t="shared" si="5"/>
        <v>9.25</v>
      </c>
      <c r="O102" s="12">
        <v>0.82699999999999996</v>
      </c>
      <c r="P102" s="12">
        <v>1.4999999999999999E-2</v>
      </c>
      <c r="Q102" s="12">
        <v>0.158</v>
      </c>
      <c r="R102" s="12">
        <f t="shared" si="6"/>
        <v>58.038054719999998</v>
      </c>
      <c r="S102" s="12">
        <f t="shared" si="7"/>
        <v>0.4496</v>
      </c>
      <c r="T102" s="12">
        <f t="shared" si="8"/>
        <v>0.70911799999999992</v>
      </c>
      <c r="U102" s="12">
        <f t="shared" si="9"/>
        <v>0.29088200000000008</v>
      </c>
    </row>
  </sheetData>
  <mergeCells count="10">
    <mergeCell ref="G1:G2"/>
    <mergeCell ref="H1:H2"/>
    <mergeCell ref="I1:N1"/>
    <mergeCell ref="O1:U1"/>
    <mergeCell ref="A1:A2"/>
    <mergeCell ref="B1:B2"/>
    <mergeCell ref="C1:C2"/>
    <mergeCell ref="D1:D2"/>
    <mergeCell ref="E1:E2"/>
    <mergeCell ref="F1:F2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情感倾向</vt:lpstr>
      <vt:lpstr>转载量</vt:lpstr>
      <vt:lpstr>核心信息量</vt:lpstr>
      <vt:lpstr>内容质量及媒体覆盖指标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boxi xiao</dc:creator>
  <cp:lastModifiedBy>boxi xiao</cp:lastModifiedBy>
  <dcterms:created xsi:type="dcterms:W3CDTF">2023-05-12T11:15:00Z</dcterms:created>
  <dcterms:modified xsi:type="dcterms:W3CDTF">2025-12-14T07:07:50Z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